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Rutuja\Data Analysis\Freelancing\"/>
    </mc:Choice>
  </mc:AlternateContent>
  <xr:revisionPtr revIDLastSave="0" documentId="13_ncr:1_{C9CD04CC-B5D0-42F4-9758-D60B6E5B292A}" xr6:coauthVersionLast="47" xr6:coauthVersionMax="47" xr10:uidLastSave="{00000000-0000-0000-0000-000000000000}"/>
  <bookViews>
    <workbookView xWindow="-108" yWindow="-108" windowWidth="23256" windowHeight="12456" firstSheet="4" activeTab="9" xr2:uid="{740D9DD9-A887-4E8F-B07B-A4C9734BD09F}"/>
  </bookViews>
  <sheets>
    <sheet name="Pharma_QC_Test_Results" sheetId="1" r:id="rId1"/>
    <sheet name="Pass vs Fail Distribution" sheetId="4" r:id="rId2"/>
    <sheet name="Failures by Product (Monthly)" sheetId="5" r:id="rId3"/>
    <sheet name="Pass Rate Trend" sheetId="6" r:id="rId4"/>
    <sheet name="Sum of Test Done" sheetId="9" r:id="rId5"/>
    <sheet name="Sum of Passed" sheetId="10" r:id="rId6"/>
    <sheet name="Sum of Failed" sheetId="11" r:id="rId7"/>
    <sheet name="Sum of Pass Rate" sheetId="12" r:id="rId8"/>
    <sheet name="Modified Data" sheetId="2" r:id="rId9"/>
    <sheet name="Dashboard" sheetId="7" r:id="rId10"/>
  </sheets>
  <definedNames>
    <definedName name="Slicer_Month">#N/A</definedName>
    <definedName name="Slicer_Product">#N/A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25" i="2" l="1"/>
  <c r="G725" i="2"/>
  <c r="H724" i="2"/>
  <c r="G724" i="2"/>
  <c r="H723" i="2"/>
  <c r="G723" i="2"/>
  <c r="H722" i="2"/>
  <c r="G722" i="2"/>
  <c r="H721" i="2"/>
  <c r="G721" i="2"/>
  <c r="H720" i="2"/>
  <c r="G720" i="2"/>
  <c r="H719" i="2"/>
  <c r="G719" i="2"/>
  <c r="H718" i="2"/>
  <c r="G718" i="2"/>
  <c r="H717" i="2"/>
  <c r="G717" i="2"/>
  <c r="H716" i="2"/>
  <c r="G716" i="2"/>
  <c r="H715" i="2"/>
  <c r="G715" i="2"/>
  <c r="H714" i="2"/>
  <c r="G714" i="2"/>
  <c r="H713" i="2"/>
  <c r="G713" i="2"/>
  <c r="H712" i="2"/>
  <c r="G712" i="2"/>
  <c r="H711" i="2"/>
  <c r="G711" i="2"/>
  <c r="H710" i="2"/>
  <c r="G710" i="2"/>
  <c r="H709" i="2"/>
  <c r="G709" i="2"/>
  <c r="H708" i="2"/>
  <c r="G708" i="2"/>
  <c r="H707" i="2"/>
  <c r="G707" i="2"/>
  <c r="H706" i="2"/>
  <c r="G706" i="2"/>
  <c r="H705" i="2"/>
  <c r="G705" i="2"/>
  <c r="H704" i="2"/>
  <c r="G704" i="2"/>
  <c r="H703" i="2"/>
  <c r="G703" i="2"/>
  <c r="H702" i="2"/>
  <c r="G702" i="2"/>
  <c r="H701" i="2"/>
  <c r="G701" i="2"/>
  <c r="H700" i="2"/>
  <c r="G700" i="2"/>
  <c r="H699" i="2"/>
  <c r="G699" i="2"/>
  <c r="H698" i="2"/>
  <c r="G698" i="2"/>
  <c r="H697" i="2"/>
  <c r="G697" i="2"/>
  <c r="H696" i="2"/>
  <c r="G696" i="2"/>
  <c r="H695" i="2"/>
  <c r="G695" i="2"/>
  <c r="H694" i="2"/>
  <c r="G694" i="2"/>
  <c r="H693" i="2"/>
  <c r="G693" i="2"/>
  <c r="H692" i="2"/>
  <c r="G692" i="2"/>
  <c r="H691" i="2"/>
  <c r="G691" i="2"/>
  <c r="H690" i="2"/>
  <c r="G690" i="2"/>
  <c r="H689" i="2"/>
  <c r="G689" i="2"/>
  <c r="H688" i="2"/>
  <c r="G688" i="2"/>
  <c r="H687" i="2"/>
  <c r="G687" i="2"/>
  <c r="H686" i="2"/>
  <c r="G686" i="2"/>
  <c r="H685" i="2"/>
  <c r="G685" i="2"/>
  <c r="H684" i="2"/>
  <c r="G684" i="2"/>
  <c r="H683" i="2"/>
  <c r="G683" i="2"/>
  <c r="H682" i="2"/>
  <c r="G682" i="2"/>
  <c r="H681" i="2"/>
  <c r="G681" i="2"/>
  <c r="H680" i="2"/>
  <c r="G680" i="2"/>
  <c r="H679" i="2"/>
  <c r="G679" i="2"/>
  <c r="H678" i="2"/>
  <c r="G678" i="2"/>
  <c r="H677" i="2"/>
  <c r="G677" i="2"/>
  <c r="H676" i="2"/>
  <c r="G676" i="2"/>
  <c r="H675" i="2"/>
  <c r="G675" i="2"/>
  <c r="H674" i="2"/>
  <c r="G674" i="2"/>
  <c r="H673" i="2"/>
  <c r="G673" i="2"/>
  <c r="H672" i="2"/>
  <c r="G672" i="2"/>
  <c r="H671" i="2"/>
  <c r="G671" i="2"/>
  <c r="H670" i="2"/>
  <c r="G670" i="2"/>
  <c r="H669" i="2"/>
  <c r="G669" i="2"/>
  <c r="H668" i="2"/>
  <c r="G668" i="2"/>
  <c r="H667" i="2"/>
  <c r="G667" i="2"/>
  <c r="H666" i="2"/>
  <c r="G666" i="2"/>
  <c r="H665" i="2"/>
  <c r="G665" i="2"/>
  <c r="H664" i="2"/>
  <c r="G664" i="2"/>
  <c r="H663" i="2"/>
  <c r="G663" i="2"/>
  <c r="H662" i="2"/>
  <c r="G662" i="2"/>
  <c r="H661" i="2"/>
  <c r="G661" i="2"/>
  <c r="H660" i="2"/>
  <c r="G660" i="2"/>
  <c r="H659" i="2"/>
  <c r="G659" i="2"/>
  <c r="H658" i="2"/>
  <c r="G658" i="2"/>
  <c r="H657" i="2"/>
  <c r="G657" i="2"/>
  <c r="H656" i="2"/>
  <c r="G656" i="2"/>
  <c r="H655" i="2"/>
  <c r="G655" i="2"/>
  <c r="H654" i="2"/>
  <c r="G654" i="2"/>
  <c r="H653" i="2"/>
  <c r="G653" i="2"/>
  <c r="H652" i="2"/>
  <c r="G652" i="2"/>
  <c r="H651" i="2"/>
  <c r="G651" i="2"/>
  <c r="H650" i="2"/>
  <c r="G650" i="2"/>
  <c r="H649" i="2"/>
  <c r="G649" i="2"/>
  <c r="H648" i="2"/>
  <c r="G648" i="2"/>
  <c r="H647" i="2"/>
  <c r="G647" i="2"/>
  <c r="H646" i="2"/>
  <c r="G646" i="2"/>
  <c r="H645" i="2"/>
  <c r="G645" i="2"/>
  <c r="H644" i="2"/>
  <c r="G644" i="2"/>
  <c r="H643" i="2"/>
  <c r="G643" i="2"/>
  <c r="H642" i="2"/>
  <c r="G642" i="2"/>
  <c r="H641" i="2"/>
  <c r="G641" i="2"/>
  <c r="H640" i="2"/>
  <c r="G640" i="2"/>
  <c r="H639" i="2"/>
  <c r="G639" i="2"/>
  <c r="H638" i="2"/>
  <c r="G638" i="2"/>
  <c r="H637" i="2"/>
  <c r="G637" i="2"/>
  <c r="H636" i="2"/>
  <c r="G636" i="2"/>
  <c r="H635" i="2"/>
  <c r="G635" i="2"/>
  <c r="H634" i="2"/>
  <c r="G634" i="2"/>
  <c r="H633" i="2"/>
  <c r="G633" i="2"/>
  <c r="H632" i="2"/>
  <c r="G632" i="2"/>
  <c r="H631" i="2"/>
  <c r="G631" i="2"/>
  <c r="H630" i="2"/>
  <c r="G630" i="2"/>
  <c r="H629" i="2"/>
  <c r="G629" i="2"/>
  <c r="H628" i="2"/>
  <c r="G628" i="2"/>
  <c r="H627" i="2"/>
  <c r="G627" i="2"/>
  <c r="H626" i="2"/>
  <c r="G626" i="2"/>
  <c r="H625" i="2"/>
  <c r="G625" i="2"/>
  <c r="H624" i="2"/>
  <c r="G624" i="2"/>
  <c r="H623" i="2"/>
  <c r="G623" i="2"/>
  <c r="H622" i="2"/>
  <c r="G622" i="2"/>
  <c r="H621" i="2"/>
  <c r="G621" i="2"/>
  <c r="H620" i="2"/>
  <c r="G620" i="2"/>
  <c r="H619" i="2"/>
  <c r="G619" i="2"/>
  <c r="H618" i="2"/>
  <c r="G618" i="2"/>
  <c r="H617" i="2"/>
  <c r="G617" i="2"/>
  <c r="H616" i="2"/>
  <c r="G616" i="2"/>
  <c r="H615" i="2"/>
  <c r="G615" i="2"/>
  <c r="H614" i="2"/>
  <c r="G614" i="2"/>
  <c r="H613" i="2"/>
  <c r="G613" i="2"/>
  <c r="H612" i="2"/>
  <c r="G612" i="2"/>
  <c r="H611" i="2"/>
  <c r="G611" i="2"/>
  <c r="H610" i="2"/>
  <c r="G610" i="2"/>
  <c r="H609" i="2"/>
  <c r="G609" i="2"/>
  <c r="H608" i="2"/>
  <c r="G608" i="2"/>
  <c r="H607" i="2"/>
  <c r="G607" i="2"/>
  <c r="H606" i="2"/>
  <c r="G606" i="2"/>
  <c r="H605" i="2"/>
  <c r="G605" i="2"/>
  <c r="H604" i="2"/>
  <c r="G604" i="2"/>
  <c r="H603" i="2"/>
  <c r="G603" i="2"/>
  <c r="H602" i="2"/>
  <c r="G602" i="2"/>
  <c r="H601" i="2"/>
  <c r="G601" i="2"/>
  <c r="H600" i="2"/>
  <c r="G600" i="2"/>
  <c r="H599" i="2"/>
  <c r="G599" i="2"/>
  <c r="H598" i="2"/>
  <c r="G598" i="2"/>
  <c r="H597" i="2"/>
  <c r="G597" i="2"/>
  <c r="H596" i="2"/>
  <c r="G596" i="2"/>
  <c r="H595" i="2"/>
  <c r="G595" i="2"/>
  <c r="H594" i="2"/>
  <c r="G594" i="2"/>
  <c r="H593" i="2"/>
  <c r="G593" i="2"/>
  <c r="H592" i="2"/>
  <c r="G592" i="2"/>
  <c r="H591" i="2"/>
  <c r="G591" i="2"/>
  <c r="H590" i="2"/>
  <c r="G590" i="2"/>
  <c r="H589" i="2"/>
  <c r="G589" i="2"/>
  <c r="H588" i="2"/>
  <c r="G588" i="2"/>
  <c r="H587" i="2"/>
  <c r="G587" i="2"/>
  <c r="H586" i="2"/>
  <c r="G586" i="2"/>
  <c r="H585" i="2"/>
  <c r="G585" i="2"/>
  <c r="H584" i="2"/>
  <c r="G584" i="2"/>
  <c r="H583" i="2"/>
  <c r="G583" i="2"/>
  <c r="H582" i="2"/>
  <c r="G582" i="2"/>
  <c r="H581" i="2"/>
  <c r="G581" i="2"/>
  <c r="H580" i="2"/>
  <c r="G580" i="2"/>
  <c r="H579" i="2"/>
  <c r="G579" i="2"/>
  <c r="H578" i="2"/>
  <c r="G578" i="2"/>
  <c r="H577" i="2"/>
  <c r="G577" i="2"/>
  <c r="H576" i="2"/>
  <c r="G576" i="2"/>
  <c r="H575" i="2"/>
  <c r="G575" i="2"/>
  <c r="H574" i="2"/>
  <c r="G574" i="2"/>
  <c r="H573" i="2"/>
  <c r="G573" i="2"/>
  <c r="H572" i="2"/>
  <c r="G572" i="2"/>
  <c r="H571" i="2"/>
  <c r="G571" i="2"/>
  <c r="H570" i="2"/>
  <c r="G570" i="2"/>
  <c r="H569" i="2"/>
  <c r="G569" i="2"/>
  <c r="H568" i="2"/>
  <c r="G568" i="2"/>
  <c r="H567" i="2"/>
  <c r="G567" i="2"/>
  <c r="H566" i="2"/>
  <c r="G566" i="2"/>
  <c r="H565" i="2"/>
  <c r="G565" i="2"/>
  <c r="H564" i="2"/>
  <c r="G564" i="2"/>
  <c r="H563" i="2"/>
  <c r="G563" i="2"/>
  <c r="H562" i="2"/>
  <c r="G562" i="2"/>
  <c r="H561" i="2"/>
  <c r="G561" i="2"/>
  <c r="H560" i="2"/>
  <c r="G560" i="2"/>
  <c r="H559" i="2"/>
  <c r="G559" i="2"/>
  <c r="H558" i="2"/>
  <c r="G558" i="2"/>
  <c r="H557" i="2"/>
  <c r="G557" i="2"/>
  <c r="H556" i="2"/>
  <c r="G556" i="2"/>
  <c r="H555" i="2"/>
  <c r="G555" i="2"/>
  <c r="H554" i="2"/>
  <c r="G554" i="2"/>
  <c r="H553" i="2"/>
  <c r="G553" i="2"/>
  <c r="H552" i="2"/>
  <c r="G552" i="2"/>
  <c r="H551" i="2"/>
  <c r="G551" i="2"/>
  <c r="H550" i="2"/>
  <c r="G550" i="2"/>
  <c r="H549" i="2"/>
  <c r="G549" i="2"/>
  <c r="H548" i="2"/>
  <c r="G548" i="2"/>
  <c r="H547" i="2"/>
  <c r="G547" i="2"/>
  <c r="H546" i="2"/>
  <c r="G546" i="2"/>
  <c r="H545" i="2"/>
  <c r="G545" i="2"/>
  <c r="H544" i="2"/>
  <c r="G544" i="2"/>
  <c r="H543" i="2"/>
  <c r="G543" i="2"/>
  <c r="H542" i="2"/>
  <c r="G542" i="2"/>
  <c r="H541" i="2"/>
  <c r="G541" i="2"/>
  <c r="H540" i="2"/>
  <c r="G540" i="2"/>
  <c r="H539" i="2"/>
  <c r="G539" i="2"/>
  <c r="H538" i="2"/>
  <c r="G538" i="2"/>
  <c r="H537" i="2"/>
  <c r="G537" i="2"/>
  <c r="H536" i="2"/>
  <c r="G536" i="2"/>
  <c r="H535" i="2"/>
  <c r="G535" i="2"/>
  <c r="H534" i="2"/>
  <c r="G534" i="2"/>
  <c r="H533" i="2"/>
  <c r="G533" i="2"/>
  <c r="H532" i="2"/>
  <c r="G532" i="2"/>
  <c r="H531" i="2"/>
  <c r="G531" i="2"/>
  <c r="H530" i="2"/>
  <c r="G530" i="2"/>
  <c r="H529" i="2"/>
  <c r="G529" i="2"/>
  <c r="H528" i="2"/>
  <c r="G528" i="2"/>
  <c r="H527" i="2"/>
  <c r="G527" i="2"/>
  <c r="H526" i="2"/>
  <c r="G526" i="2"/>
  <c r="H525" i="2"/>
  <c r="G525" i="2"/>
  <c r="H524" i="2"/>
  <c r="G524" i="2"/>
  <c r="H523" i="2"/>
  <c r="G523" i="2"/>
  <c r="H522" i="2"/>
  <c r="G522" i="2"/>
  <c r="H521" i="2"/>
  <c r="G521" i="2"/>
  <c r="H520" i="2"/>
  <c r="G520" i="2"/>
  <c r="H519" i="2"/>
  <c r="G519" i="2"/>
  <c r="H518" i="2"/>
  <c r="G518" i="2"/>
  <c r="H517" i="2"/>
  <c r="G517" i="2"/>
  <c r="H516" i="2"/>
  <c r="G516" i="2"/>
  <c r="H515" i="2"/>
  <c r="G515" i="2"/>
  <c r="H514" i="2"/>
  <c r="G514" i="2"/>
  <c r="H513" i="2"/>
  <c r="G513" i="2"/>
  <c r="H512" i="2"/>
  <c r="G512" i="2"/>
  <c r="H511" i="2"/>
  <c r="G511" i="2"/>
  <c r="H510" i="2"/>
  <c r="G510" i="2"/>
  <c r="H509" i="2"/>
  <c r="G509" i="2"/>
  <c r="H508" i="2"/>
  <c r="G508" i="2"/>
  <c r="H507" i="2"/>
  <c r="G507" i="2"/>
  <c r="H506" i="2"/>
  <c r="G506" i="2"/>
  <c r="H505" i="2"/>
  <c r="G505" i="2"/>
  <c r="H504" i="2"/>
  <c r="G504" i="2"/>
  <c r="H503" i="2"/>
  <c r="G503" i="2"/>
  <c r="H502" i="2"/>
  <c r="G502" i="2"/>
  <c r="H501" i="2"/>
  <c r="G501" i="2"/>
  <c r="H500" i="2"/>
  <c r="G500" i="2"/>
  <c r="H499" i="2"/>
  <c r="G499" i="2"/>
  <c r="H498" i="2"/>
  <c r="G498" i="2"/>
  <c r="H497" i="2"/>
  <c r="G497" i="2"/>
  <c r="H496" i="2"/>
  <c r="G496" i="2"/>
  <c r="H495" i="2"/>
  <c r="G495" i="2"/>
  <c r="H494" i="2"/>
  <c r="G494" i="2"/>
  <c r="H493" i="2"/>
  <c r="G493" i="2"/>
  <c r="H492" i="2"/>
  <c r="G492" i="2"/>
  <c r="H491" i="2"/>
  <c r="G491" i="2"/>
  <c r="H490" i="2"/>
  <c r="G490" i="2"/>
  <c r="H489" i="2"/>
  <c r="G489" i="2"/>
  <c r="H488" i="2"/>
  <c r="G488" i="2"/>
  <c r="H487" i="2"/>
  <c r="G487" i="2"/>
  <c r="H486" i="2"/>
  <c r="G486" i="2"/>
  <c r="H485" i="2"/>
  <c r="G485" i="2"/>
  <c r="H484" i="2"/>
  <c r="G484" i="2"/>
  <c r="H483" i="2"/>
  <c r="G483" i="2"/>
  <c r="H482" i="2"/>
  <c r="G482" i="2"/>
  <c r="H481" i="2"/>
  <c r="G481" i="2"/>
  <c r="H480" i="2"/>
  <c r="G480" i="2"/>
  <c r="H479" i="2"/>
  <c r="G479" i="2"/>
  <c r="H478" i="2"/>
  <c r="G478" i="2"/>
  <c r="H477" i="2"/>
  <c r="G477" i="2"/>
  <c r="H476" i="2"/>
  <c r="G476" i="2"/>
  <c r="H475" i="2"/>
  <c r="G475" i="2"/>
  <c r="H474" i="2"/>
  <c r="G474" i="2"/>
  <c r="H473" i="2"/>
  <c r="G473" i="2"/>
  <c r="H472" i="2"/>
  <c r="G472" i="2"/>
  <c r="H471" i="2"/>
  <c r="G471" i="2"/>
  <c r="H470" i="2"/>
  <c r="G470" i="2"/>
  <c r="H469" i="2"/>
  <c r="G469" i="2"/>
  <c r="H468" i="2"/>
  <c r="G468" i="2"/>
  <c r="H467" i="2"/>
  <c r="G467" i="2"/>
  <c r="H466" i="2"/>
  <c r="G466" i="2"/>
  <c r="H465" i="2"/>
  <c r="G465" i="2"/>
  <c r="H464" i="2"/>
  <c r="G464" i="2"/>
  <c r="H463" i="2"/>
  <c r="G463" i="2"/>
  <c r="H462" i="2"/>
  <c r="G462" i="2"/>
  <c r="H461" i="2"/>
  <c r="G461" i="2"/>
  <c r="H460" i="2"/>
  <c r="G460" i="2"/>
  <c r="H459" i="2"/>
  <c r="G459" i="2"/>
  <c r="H458" i="2"/>
  <c r="G458" i="2"/>
  <c r="H457" i="2"/>
  <c r="G457" i="2"/>
  <c r="H456" i="2"/>
  <c r="G456" i="2"/>
  <c r="H455" i="2"/>
  <c r="G455" i="2"/>
  <c r="H454" i="2"/>
  <c r="G454" i="2"/>
  <c r="H453" i="2"/>
  <c r="G453" i="2"/>
  <c r="H452" i="2"/>
  <c r="G452" i="2"/>
  <c r="H451" i="2"/>
  <c r="G451" i="2"/>
  <c r="H450" i="2"/>
  <c r="G450" i="2"/>
  <c r="H449" i="2"/>
  <c r="G449" i="2"/>
  <c r="H448" i="2"/>
  <c r="G448" i="2"/>
  <c r="H447" i="2"/>
  <c r="G447" i="2"/>
  <c r="H446" i="2"/>
  <c r="G446" i="2"/>
  <c r="H445" i="2"/>
  <c r="G445" i="2"/>
  <c r="H444" i="2"/>
  <c r="G444" i="2"/>
  <c r="H443" i="2"/>
  <c r="G443" i="2"/>
  <c r="H442" i="2"/>
  <c r="G442" i="2"/>
  <c r="H441" i="2"/>
  <c r="G441" i="2"/>
  <c r="H440" i="2"/>
  <c r="G440" i="2"/>
  <c r="H439" i="2"/>
  <c r="G439" i="2"/>
  <c r="H438" i="2"/>
  <c r="G438" i="2"/>
  <c r="H437" i="2"/>
  <c r="G437" i="2"/>
  <c r="H436" i="2"/>
  <c r="G436" i="2"/>
  <c r="H435" i="2"/>
  <c r="G435" i="2"/>
  <c r="H434" i="2"/>
  <c r="G434" i="2"/>
  <c r="H433" i="2"/>
  <c r="G433" i="2"/>
  <c r="H432" i="2"/>
  <c r="G432" i="2"/>
  <c r="H431" i="2"/>
  <c r="G431" i="2"/>
  <c r="H430" i="2"/>
  <c r="G430" i="2"/>
  <c r="H429" i="2"/>
  <c r="G429" i="2"/>
  <c r="H428" i="2"/>
  <c r="G428" i="2"/>
  <c r="H427" i="2"/>
  <c r="G427" i="2"/>
  <c r="H426" i="2"/>
  <c r="G426" i="2"/>
  <c r="H425" i="2"/>
  <c r="G425" i="2"/>
  <c r="H424" i="2"/>
  <c r="G424" i="2"/>
  <c r="H423" i="2"/>
  <c r="G423" i="2"/>
  <c r="H422" i="2"/>
  <c r="G422" i="2"/>
  <c r="H421" i="2"/>
  <c r="G421" i="2"/>
  <c r="H420" i="2"/>
  <c r="G420" i="2"/>
  <c r="H419" i="2"/>
  <c r="G419" i="2"/>
  <c r="H418" i="2"/>
  <c r="G418" i="2"/>
  <c r="H417" i="2"/>
  <c r="G417" i="2"/>
  <c r="H416" i="2"/>
  <c r="G416" i="2"/>
  <c r="H415" i="2"/>
  <c r="G415" i="2"/>
  <c r="H414" i="2"/>
  <c r="G414" i="2"/>
  <c r="H413" i="2"/>
  <c r="G413" i="2"/>
  <c r="H412" i="2"/>
  <c r="G412" i="2"/>
  <c r="H411" i="2"/>
  <c r="G411" i="2"/>
  <c r="H410" i="2"/>
  <c r="G410" i="2"/>
  <c r="H409" i="2"/>
  <c r="G409" i="2"/>
  <c r="H408" i="2"/>
  <c r="G408" i="2"/>
  <c r="H407" i="2"/>
  <c r="G407" i="2"/>
  <c r="H406" i="2"/>
  <c r="G406" i="2"/>
  <c r="H405" i="2"/>
  <c r="G405" i="2"/>
  <c r="H404" i="2"/>
  <c r="G404" i="2"/>
  <c r="H403" i="2"/>
  <c r="G403" i="2"/>
  <c r="H402" i="2"/>
  <c r="G402" i="2"/>
  <c r="H401" i="2"/>
  <c r="G401" i="2"/>
  <c r="H400" i="2"/>
  <c r="G400" i="2"/>
  <c r="H399" i="2"/>
  <c r="G399" i="2"/>
  <c r="H398" i="2"/>
  <c r="G398" i="2"/>
  <c r="H397" i="2"/>
  <c r="G397" i="2"/>
  <c r="H396" i="2"/>
  <c r="G396" i="2"/>
  <c r="H395" i="2"/>
  <c r="G395" i="2"/>
  <c r="H394" i="2"/>
  <c r="G394" i="2"/>
  <c r="H393" i="2"/>
  <c r="G393" i="2"/>
  <c r="H392" i="2"/>
  <c r="G392" i="2"/>
  <c r="H391" i="2"/>
  <c r="G391" i="2"/>
  <c r="H390" i="2"/>
  <c r="G390" i="2"/>
  <c r="H389" i="2"/>
  <c r="G389" i="2"/>
  <c r="H388" i="2"/>
  <c r="G388" i="2"/>
  <c r="H387" i="2"/>
  <c r="G387" i="2"/>
  <c r="H386" i="2"/>
  <c r="G386" i="2"/>
  <c r="H385" i="2"/>
  <c r="G385" i="2"/>
  <c r="H384" i="2"/>
  <c r="G384" i="2"/>
  <c r="H383" i="2"/>
  <c r="G383" i="2"/>
  <c r="H382" i="2"/>
  <c r="G382" i="2"/>
  <c r="H381" i="2"/>
  <c r="G381" i="2"/>
  <c r="H380" i="2"/>
  <c r="G380" i="2"/>
  <c r="H379" i="2"/>
  <c r="G379" i="2"/>
  <c r="H378" i="2"/>
  <c r="G378" i="2"/>
  <c r="H377" i="2"/>
  <c r="G377" i="2"/>
  <c r="H376" i="2"/>
  <c r="G376" i="2"/>
  <c r="H375" i="2"/>
  <c r="G375" i="2"/>
  <c r="H374" i="2"/>
  <c r="G374" i="2"/>
  <c r="H373" i="2"/>
  <c r="G373" i="2"/>
  <c r="H372" i="2"/>
  <c r="G372" i="2"/>
  <c r="H371" i="2"/>
  <c r="G371" i="2"/>
  <c r="H370" i="2"/>
  <c r="G370" i="2"/>
  <c r="H369" i="2"/>
  <c r="G369" i="2"/>
  <c r="H368" i="2"/>
  <c r="G368" i="2"/>
  <c r="H367" i="2"/>
  <c r="G367" i="2"/>
  <c r="H366" i="2"/>
  <c r="G366" i="2"/>
  <c r="H365" i="2"/>
  <c r="G365" i="2"/>
  <c r="H364" i="2"/>
  <c r="G364" i="2"/>
  <c r="H363" i="2"/>
  <c r="G363" i="2"/>
  <c r="H362" i="2"/>
  <c r="G362" i="2"/>
  <c r="H361" i="2"/>
  <c r="G361" i="2"/>
  <c r="H360" i="2"/>
  <c r="G360" i="2"/>
  <c r="H359" i="2"/>
  <c r="G359" i="2"/>
  <c r="H358" i="2"/>
  <c r="G358" i="2"/>
  <c r="H357" i="2"/>
  <c r="G357" i="2"/>
  <c r="H356" i="2"/>
  <c r="G356" i="2"/>
  <c r="H355" i="2"/>
  <c r="G355" i="2"/>
  <c r="H354" i="2"/>
  <c r="G354" i="2"/>
  <c r="H353" i="2"/>
  <c r="G353" i="2"/>
  <c r="H352" i="2"/>
  <c r="G352" i="2"/>
  <c r="H351" i="2"/>
  <c r="G351" i="2"/>
  <c r="H350" i="2"/>
  <c r="G350" i="2"/>
  <c r="H349" i="2"/>
  <c r="G349" i="2"/>
  <c r="H348" i="2"/>
  <c r="G348" i="2"/>
  <c r="H347" i="2"/>
  <c r="G347" i="2"/>
  <c r="H346" i="2"/>
  <c r="G346" i="2"/>
  <c r="H345" i="2"/>
  <c r="G345" i="2"/>
  <c r="H344" i="2"/>
  <c r="G344" i="2"/>
  <c r="H343" i="2"/>
  <c r="G343" i="2"/>
  <c r="H342" i="2"/>
  <c r="G342" i="2"/>
  <c r="H341" i="2"/>
  <c r="G341" i="2"/>
  <c r="H340" i="2"/>
  <c r="G340" i="2"/>
  <c r="H339" i="2"/>
  <c r="G339" i="2"/>
  <c r="H338" i="2"/>
  <c r="G338" i="2"/>
  <c r="H337" i="2"/>
  <c r="G337" i="2"/>
  <c r="H336" i="2"/>
  <c r="G336" i="2"/>
  <c r="H335" i="2"/>
  <c r="G335" i="2"/>
  <c r="H334" i="2"/>
  <c r="G334" i="2"/>
  <c r="H333" i="2"/>
  <c r="G333" i="2"/>
  <c r="H332" i="2"/>
  <c r="G332" i="2"/>
  <c r="H331" i="2"/>
  <c r="G331" i="2"/>
  <c r="H330" i="2"/>
  <c r="G330" i="2"/>
  <c r="H329" i="2"/>
  <c r="G329" i="2"/>
  <c r="H328" i="2"/>
  <c r="G328" i="2"/>
  <c r="H327" i="2"/>
  <c r="G327" i="2"/>
  <c r="H326" i="2"/>
  <c r="G326" i="2"/>
  <c r="H325" i="2"/>
  <c r="G325" i="2"/>
  <c r="H324" i="2"/>
  <c r="G324" i="2"/>
  <c r="H323" i="2"/>
  <c r="G323" i="2"/>
  <c r="H322" i="2"/>
  <c r="G322" i="2"/>
  <c r="H321" i="2"/>
  <c r="G321" i="2"/>
  <c r="H320" i="2"/>
  <c r="G320" i="2"/>
  <c r="H319" i="2"/>
  <c r="G319" i="2"/>
  <c r="H318" i="2"/>
  <c r="G318" i="2"/>
  <c r="H317" i="2"/>
  <c r="G317" i="2"/>
  <c r="H316" i="2"/>
  <c r="G316" i="2"/>
  <c r="H315" i="2"/>
  <c r="G315" i="2"/>
  <c r="H314" i="2"/>
  <c r="G314" i="2"/>
  <c r="H313" i="2"/>
  <c r="G313" i="2"/>
  <c r="H312" i="2"/>
  <c r="G312" i="2"/>
  <c r="H311" i="2"/>
  <c r="G311" i="2"/>
  <c r="H310" i="2"/>
  <c r="G310" i="2"/>
  <c r="H309" i="2"/>
  <c r="G309" i="2"/>
  <c r="H308" i="2"/>
  <c r="G308" i="2"/>
  <c r="H307" i="2"/>
  <c r="G307" i="2"/>
  <c r="H306" i="2"/>
  <c r="G306" i="2"/>
  <c r="H305" i="2"/>
  <c r="G305" i="2"/>
  <c r="H304" i="2"/>
  <c r="G304" i="2"/>
  <c r="H303" i="2"/>
  <c r="G303" i="2"/>
  <c r="H302" i="2"/>
  <c r="G302" i="2"/>
  <c r="H301" i="2"/>
  <c r="G301" i="2"/>
  <c r="H300" i="2"/>
  <c r="G300" i="2"/>
  <c r="H299" i="2"/>
  <c r="G299" i="2"/>
  <c r="H298" i="2"/>
  <c r="G298" i="2"/>
  <c r="H297" i="2"/>
  <c r="G297" i="2"/>
  <c r="H296" i="2"/>
  <c r="G296" i="2"/>
  <c r="H295" i="2"/>
  <c r="G295" i="2"/>
  <c r="H294" i="2"/>
  <c r="G294" i="2"/>
  <c r="H293" i="2"/>
  <c r="G293" i="2"/>
  <c r="H292" i="2"/>
  <c r="G292" i="2"/>
  <c r="H291" i="2"/>
  <c r="G291" i="2"/>
  <c r="H290" i="2"/>
  <c r="G290" i="2"/>
  <c r="H289" i="2"/>
  <c r="G289" i="2"/>
  <c r="H288" i="2"/>
  <c r="G288" i="2"/>
  <c r="H287" i="2"/>
  <c r="G287" i="2"/>
  <c r="H286" i="2"/>
  <c r="G286" i="2"/>
  <c r="H285" i="2"/>
  <c r="G285" i="2"/>
  <c r="H284" i="2"/>
  <c r="G284" i="2"/>
  <c r="H283" i="2"/>
  <c r="G283" i="2"/>
  <c r="H282" i="2"/>
  <c r="G282" i="2"/>
  <c r="H281" i="2"/>
  <c r="G281" i="2"/>
  <c r="H280" i="2"/>
  <c r="G280" i="2"/>
  <c r="H279" i="2"/>
  <c r="G279" i="2"/>
  <c r="H278" i="2"/>
  <c r="G278" i="2"/>
  <c r="H277" i="2"/>
  <c r="G277" i="2"/>
  <c r="H276" i="2"/>
  <c r="G276" i="2"/>
  <c r="H275" i="2"/>
  <c r="G275" i="2"/>
  <c r="H274" i="2"/>
  <c r="G274" i="2"/>
  <c r="H273" i="2"/>
  <c r="G273" i="2"/>
  <c r="H272" i="2"/>
  <c r="G272" i="2"/>
  <c r="H271" i="2"/>
  <c r="G271" i="2"/>
  <c r="H270" i="2"/>
  <c r="G270" i="2"/>
  <c r="H269" i="2"/>
  <c r="G269" i="2"/>
  <c r="H268" i="2"/>
  <c r="G268" i="2"/>
  <c r="H267" i="2"/>
  <c r="G267" i="2"/>
  <c r="H266" i="2"/>
  <c r="G266" i="2"/>
  <c r="H265" i="2"/>
  <c r="G265" i="2"/>
  <c r="H264" i="2"/>
  <c r="G264" i="2"/>
  <c r="H263" i="2"/>
  <c r="G263" i="2"/>
  <c r="H262" i="2"/>
  <c r="G262" i="2"/>
  <c r="H261" i="2"/>
  <c r="G261" i="2"/>
  <c r="H260" i="2"/>
  <c r="G260" i="2"/>
  <c r="H259" i="2"/>
  <c r="G259" i="2"/>
  <c r="H258" i="2"/>
  <c r="G258" i="2"/>
  <c r="H257" i="2"/>
  <c r="G257" i="2"/>
  <c r="H256" i="2"/>
  <c r="G256" i="2"/>
  <c r="H255" i="2"/>
  <c r="G255" i="2"/>
  <c r="H254" i="2"/>
  <c r="G254" i="2"/>
  <c r="H253" i="2"/>
  <c r="G253" i="2"/>
  <c r="H252" i="2"/>
  <c r="G252" i="2"/>
  <c r="H251" i="2"/>
  <c r="G251" i="2"/>
  <c r="H250" i="2"/>
  <c r="G250" i="2"/>
  <c r="H249" i="2"/>
  <c r="G249" i="2"/>
  <c r="H248" i="2"/>
  <c r="G248" i="2"/>
  <c r="H247" i="2"/>
  <c r="G247" i="2"/>
  <c r="H246" i="2"/>
  <c r="G246" i="2"/>
  <c r="H245" i="2"/>
  <c r="G245" i="2"/>
  <c r="H244" i="2"/>
  <c r="G244" i="2"/>
  <c r="H243" i="2"/>
  <c r="G243" i="2"/>
  <c r="H242" i="2"/>
  <c r="G242" i="2"/>
  <c r="H241" i="2"/>
  <c r="G241" i="2"/>
  <c r="H240" i="2"/>
  <c r="G240" i="2"/>
  <c r="H239" i="2"/>
  <c r="G239" i="2"/>
  <c r="H238" i="2"/>
  <c r="G238" i="2"/>
  <c r="H237" i="2"/>
  <c r="G237" i="2"/>
  <c r="H236" i="2"/>
  <c r="G236" i="2"/>
  <c r="H235" i="2"/>
  <c r="G235" i="2"/>
  <c r="H234" i="2"/>
  <c r="G234" i="2"/>
  <c r="H233" i="2"/>
  <c r="G233" i="2"/>
  <c r="H232" i="2"/>
  <c r="G232" i="2"/>
  <c r="H231" i="2"/>
  <c r="G231" i="2"/>
  <c r="H230" i="2"/>
  <c r="G230" i="2"/>
  <c r="H229" i="2"/>
  <c r="G229" i="2"/>
  <c r="H228" i="2"/>
  <c r="G228" i="2"/>
  <c r="H227" i="2"/>
  <c r="G227" i="2"/>
  <c r="H226" i="2"/>
  <c r="G226" i="2"/>
  <c r="H225" i="2"/>
  <c r="G225" i="2"/>
  <c r="H224" i="2"/>
  <c r="G224" i="2"/>
  <c r="H223" i="2"/>
  <c r="G223" i="2"/>
  <c r="H222" i="2"/>
  <c r="G222" i="2"/>
  <c r="H221" i="2"/>
  <c r="G221" i="2"/>
  <c r="H220" i="2"/>
  <c r="G220" i="2"/>
  <c r="H219" i="2"/>
  <c r="G219" i="2"/>
  <c r="H218" i="2"/>
  <c r="G218" i="2"/>
  <c r="H217" i="2"/>
  <c r="G217" i="2"/>
  <c r="H216" i="2"/>
  <c r="G216" i="2"/>
  <c r="H215" i="2"/>
  <c r="G215" i="2"/>
  <c r="H214" i="2"/>
  <c r="G214" i="2"/>
  <c r="H213" i="2"/>
  <c r="G213" i="2"/>
  <c r="H212" i="2"/>
  <c r="G212" i="2"/>
  <c r="H211" i="2"/>
  <c r="G211" i="2"/>
  <c r="H210" i="2"/>
  <c r="G210" i="2"/>
  <c r="H209" i="2"/>
  <c r="G209" i="2"/>
  <c r="H208" i="2"/>
  <c r="G208" i="2"/>
  <c r="H207" i="2"/>
  <c r="G207" i="2"/>
  <c r="H206" i="2"/>
  <c r="G206" i="2"/>
  <c r="H205" i="2"/>
  <c r="G205" i="2"/>
  <c r="H204" i="2"/>
  <c r="G204" i="2"/>
  <c r="H203" i="2"/>
  <c r="G203" i="2"/>
  <c r="H202" i="2"/>
  <c r="G202" i="2"/>
  <c r="H201" i="2"/>
  <c r="G201" i="2"/>
  <c r="H200" i="2"/>
  <c r="G200" i="2"/>
  <c r="H199" i="2"/>
  <c r="G199" i="2"/>
  <c r="H198" i="2"/>
  <c r="G198" i="2"/>
  <c r="H197" i="2"/>
  <c r="G197" i="2"/>
  <c r="H196" i="2"/>
  <c r="G196" i="2"/>
  <c r="H195" i="2"/>
  <c r="G195" i="2"/>
  <c r="H194" i="2"/>
  <c r="G194" i="2"/>
  <c r="H193" i="2"/>
  <c r="G193" i="2"/>
  <c r="H192" i="2"/>
  <c r="G192" i="2"/>
  <c r="H191" i="2"/>
  <c r="G191" i="2"/>
  <c r="H190" i="2"/>
  <c r="G190" i="2"/>
  <c r="H189" i="2"/>
  <c r="G189" i="2"/>
  <c r="H188" i="2"/>
  <c r="G188" i="2"/>
  <c r="H187" i="2"/>
  <c r="G187" i="2"/>
  <c r="H186" i="2"/>
  <c r="G186" i="2"/>
  <c r="H185" i="2"/>
  <c r="G185" i="2"/>
  <c r="H184" i="2"/>
  <c r="G184" i="2"/>
  <c r="H183" i="2"/>
  <c r="G183" i="2"/>
  <c r="H182" i="2"/>
  <c r="G182" i="2"/>
  <c r="H181" i="2"/>
  <c r="G181" i="2"/>
  <c r="H180" i="2"/>
  <c r="G180" i="2"/>
  <c r="H179" i="2"/>
  <c r="G179" i="2"/>
  <c r="H178" i="2"/>
  <c r="G178" i="2"/>
  <c r="H177" i="2"/>
  <c r="G177" i="2"/>
  <c r="H176" i="2"/>
  <c r="G176" i="2"/>
  <c r="H175" i="2"/>
  <c r="G175" i="2"/>
  <c r="H174" i="2"/>
  <c r="G174" i="2"/>
  <c r="H173" i="2"/>
  <c r="G173" i="2"/>
  <c r="H172" i="2"/>
  <c r="G172" i="2"/>
  <c r="H171" i="2"/>
  <c r="G171" i="2"/>
  <c r="H170" i="2"/>
  <c r="G170" i="2"/>
  <c r="H169" i="2"/>
  <c r="G169" i="2"/>
  <c r="H168" i="2"/>
  <c r="G168" i="2"/>
  <c r="H167" i="2"/>
  <c r="G167" i="2"/>
  <c r="H166" i="2"/>
  <c r="G166" i="2"/>
  <c r="H165" i="2"/>
  <c r="G165" i="2"/>
  <c r="H164" i="2"/>
  <c r="G164" i="2"/>
  <c r="H163" i="2"/>
  <c r="G163" i="2"/>
  <c r="H162" i="2"/>
  <c r="G162" i="2"/>
  <c r="H161" i="2"/>
  <c r="G161" i="2"/>
  <c r="H160" i="2"/>
  <c r="G160" i="2"/>
  <c r="H159" i="2"/>
  <c r="G159" i="2"/>
  <c r="H158" i="2"/>
  <c r="G158" i="2"/>
  <c r="H157" i="2"/>
  <c r="G157" i="2"/>
  <c r="H156" i="2"/>
  <c r="G156" i="2"/>
  <c r="H155" i="2"/>
  <c r="G155" i="2"/>
  <c r="H154" i="2"/>
  <c r="G154" i="2"/>
  <c r="H153" i="2"/>
  <c r="G153" i="2"/>
  <c r="H152" i="2"/>
  <c r="G152" i="2"/>
  <c r="H151" i="2"/>
  <c r="G151" i="2"/>
  <c r="H150" i="2"/>
  <c r="G150" i="2"/>
  <c r="H149" i="2"/>
  <c r="G149" i="2"/>
  <c r="H148" i="2"/>
  <c r="G148" i="2"/>
  <c r="H147" i="2"/>
  <c r="G147" i="2"/>
  <c r="H146" i="2"/>
  <c r="G146" i="2"/>
  <c r="H145" i="2"/>
  <c r="G145" i="2"/>
  <c r="H144" i="2"/>
  <c r="G144" i="2"/>
  <c r="H143" i="2"/>
  <c r="G143" i="2"/>
  <c r="H142" i="2"/>
  <c r="G142" i="2"/>
  <c r="H141" i="2"/>
  <c r="G141" i="2"/>
  <c r="H140" i="2"/>
  <c r="G140" i="2"/>
  <c r="H139" i="2"/>
  <c r="G139" i="2"/>
  <c r="H138" i="2"/>
  <c r="G138" i="2"/>
  <c r="H137" i="2"/>
  <c r="G137" i="2"/>
  <c r="H136" i="2"/>
  <c r="G136" i="2"/>
  <c r="H135" i="2"/>
  <c r="G135" i="2"/>
  <c r="H134" i="2"/>
  <c r="G134" i="2"/>
  <c r="H133" i="2"/>
  <c r="G133" i="2"/>
  <c r="H132" i="2"/>
  <c r="G132" i="2"/>
  <c r="H131" i="2"/>
  <c r="G131" i="2"/>
  <c r="H130" i="2"/>
  <c r="G130" i="2"/>
  <c r="H129" i="2"/>
  <c r="G129" i="2"/>
  <c r="H128" i="2"/>
  <c r="G128" i="2"/>
  <c r="H127" i="2"/>
  <c r="G127" i="2"/>
  <c r="H126" i="2"/>
  <c r="G126" i="2"/>
  <c r="H125" i="2"/>
  <c r="G125" i="2"/>
  <c r="H124" i="2"/>
  <c r="G124" i="2"/>
  <c r="H123" i="2"/>
  <c r="G123" i="2"/>
  <c r="H122" i="2"/>
  <c r="G122" i="2"/>
  <c r="H121" i="2"/>
  <c r="G121" i="2"/>
  <c r="H120" i="2"/>
  <c r="G120" i="2"/>
  <c r="H119" i="2"/>
  <c r="G119" i="2"/>
  <c r="H118" i="2"/>
  <c r="G118" i="2"/>
  <c r="H117" i="2"/>
  <c r="G117" i="2"/>
  <c r="H116" i="2"/>
  <c r="G116" i="2"/>
  <c r="H115" i="2"/>
  <c r="G115" i="2"/>
  <c r="H114" i="2"/>
  <c r="G114" i="2"/>
  <c r="H113" i="2"/>
  <c r="G113" i="2"/>
  <c r="H112" i="2"/>
  <c r="G112" i="2"/>
  <c r="H111" i="2"/>
  <c r="G111" i="2"/>
  <c r="H110" i="2"/>
  <c r="G110" i="2"/>
  <c r="H109" i="2"/>
  <c r="G109" i="2"/>
  <c r="H108" i="2"/>
  <c r="G108" i="2"/>
  <c r="H107" i="2"/>
  <c r="G107" i="2"/>
  <c r="H106" i="2"/>
  <c r="G106" i="2"/>
  <c r="H105" i="2"/>
  <c r="G105" i="2"/>
  <c r="H104" i="2"/>
  <c r="G104" i="2"/>
  <c r="H103" i="2"/>
  <c r="G103" i="2"/>
  <c r="H102" i="2"/>
  <c r="G102" i="2"/>
  <c r="H101" i="2"/>
  <c r="G101" i="2"/>
  <c r="H100" i="2"/>
  <c r="G100" i="2"/>
  <c r="H99" i="2"/>
  <c r="G99" i="2"/>
  <c r="H98" i="2"/>
  <c r="G98" i="2"/>
  <c r="H97" i="2"/>
  <c r="G97" i="2"/>
  <c r="H96" i="2"/>
  <c r="G96" i="2"/>
  <c r="H95" i="2"/>
  <c r="G95" i="2"/>
  <c r="H94" i="2"/>
  <c r="G94" i="2"/>
  <c r="H93" i="2"/>
  <c r="G93" i="2"/>
  <c r="H92" i="2"/>
  <c r="G92" i="2"/>
  <c r="H91" i="2"/>
  <c r="G91" i="2"/>
  <c r="H90" i="2"/>
  <c r="G90" i="2"/>
  <c r="H89" i="2"/>
  <c r="G89" i="2"/>
  <c r="H88" i="2"/>
  <c r="G88" i="2"/>
  <c r="H87" i="2"/>
  <c r="G87" i="2"/>
  <c r="H86" i="2"/>
  <c r="G86" i="2"/>
  <c r="H85" i="2"/>
  <c r="G85" i="2"/>
  <c r="H84" i="2"/>
  <c r="G84" i="2"/>
  <c r="H83" i="2"/>
  <c r="G83" i="2"/>
  <c r="H82" i="2"/>
  <c r="G82" i="2"/>
  <c r="H81" i="2"/>
  <c r="G81" i="2"/>
  <c r="H80" i="2"/>
  <c r="G80" i="2"/>
  <c r="H79" i="2"/>
  <c r="G79" i="2"/>
  <c r="H78" i="2"/>
  <c r="G78" i="2"/>
  <c r="H77" i="2"/>
  <c r="G77" i="2"/>
  <c r="H76" i="2"/>
  <c r="G76" i="2"/>
  <c r="H75" i="2"/>
  <c r="G75" i="2"/>
  <c r="H74" i="2"/>
  <c r="G74" i="2"/>
  <c r="H73" i="2"/>
  <c r="G73" i="2"/>
  <c r="H72" i="2"/>
  <c r="G72" i="2"/>
  <c r="H71" i="2"/>
  <c r="G71" i="2"/>
  <c r="H70" i="2"/>
  <c r="G70" i="2"/>
  <c r="H69" i="2"/>
  <c r="G69" i="2"/>
  <c r="H68" i="2"/>
  <c r="G68" i="2"/>
  <c r="H67" i="2"/>
  <c r="G67" i="2"/>
  <c r="H66" i="2"/>
  <c r="G66" i="2"/>
  <c r="H65" i="2"/>
  <c r="G65" i="2"/>
  <c r="H64" i="2"/>
  <c r="G64" i="2"/>
  <c r="H63" i="2"/>
  <c r="G63" i="2"/>
  <c r="H62" i="2"/>
  <c r="G62" i="2"/>
  <c r="H61" i="2"/>
  <c r="G61" i="2"/>
  <c r="H60" i="2"/>
  <c r="G60" i="2"/>
  <c r="H59" i="2"/>
  <c r="G59" i="2"/>
  <c r="H58" i="2"/>
  <c r="G58" i="2"/>
  <c r="H57" i="2"/>
  <c r="G57" i="2"/>
  <c r="H56" i="2"/>
  <c r="G56" i="2"/>
  <c r="H55" i="2"/>
  <c r="G55" i="2"/>
  <c r="H54" i="2"/>
  <c r="G54" i="2"/>
  <c r="H53" i="2"/>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7" i="2"/>
  <c r="G27" i="2"/>
  <c r="H26" i="2"/>
  <c r="G26" i="2"/>
  <c r="H25" i="2"/>
  <c r="G25" i="2"/>
  <c r="H24" i="2"/>
  <c r="G24" i="2"/>
  <c r="H23" i="2"/>
  <c r="G23" i="2"/>
  <c r="H22" i="2"/>
  <c r="G22" i="2"/>
  <c r="H21" i="2"/>
  <c r="G21" i="2"/>
  <c r="H20" i="2"/>
  <c r="G20" i="2"/>
  <c r="H19" i="2"/>
  <c r="G19" i="2"/>
  <c r="H18" i="2"/>
  <c r="G18" i="2"/>
  <c r="H17" i="2"/>
  <c r="G17" i="2"/>
  <c r="H16" i="2"/>
  <c r="G16" i="2"/>
  <c r="H15" i="2"/>
  <c r="G15" i="2"/>
  <c r="H14" i="2"/>
  <c r="G14" i="2"/>
  <c r="H13" i="2"/>
  <c r="G13" i="2"/>
  <c r="L12" i="2"/>
  <c r="H12" i="2"/>
  <c r="G12" i="2"/>
  <c r="L11" i="2"/>
  <c r="H11" i="2"/>
  <c r="G11" i="2"/>
  <c r="L10" i="2"/>
  <c r="H10" i="2"/>
  <c r="G10" i="2"/>
  <c r="L9" i="2"/>
  <c r="H9" i="2"/>
  <c r="G9" i="2"/>
  <c r="H8" i="2"/>
  <c r="G8" i="2"/>
  <c r="H7" i="2"/>
  <c r="G7" i="2"/>
  <c r="H6" i="2"/>
  <c r="G6" i="2"/>
  <c r="H5" i="2"/>
  <c r="G5" i="2"/>
  <c r="H4" i="2"/>
  <c r="G4" i="2"/>
  <c r="H3" i="2"/>
  <c r="G3" i="2"/>
  <c r="H2" i="2"/>
  <c r="G2" i="2"/>
</calcChain>
</file>

<file path=xl/sharedStrings.xml><?xml version="1.0" encoding="utf-8"?>
<sst xmlns="http://schemas.openxmlformats.org/spreadsheetml/2006/main" count="2971" uniqueCount="749">
  <si>
    <t>Date</t>
  </si>
  <si>
    <t>Product</t>
  </si>
  <si>
    <t>BatchID</t>
  </si>
  <si>
    <t>Tests_Done</t>
  </si>
  <si>
    <t>Passed</t>
  </si>
  <si>
    <t>Failed</t>
  </si>
  <si>
    <t>Tablet-A</t>
  </si>
  <si>
    <t>TAB-2824</t>
  </si>
  <si>
    <t>Syrup-B</t>
  </si>
  <si>
    <t>SYR-5012</t>
  </si>
  <si>
    <t>Capsule-C</t>
  </si>
  <si>
    <t>CAP-2679</t>
  </si>
  <si>
    <t>Ointment-D</t>
  </si>
  <si>
    <t>OIN-7912</t>
  </si>
  <si>
    <t>TAB-2535</t>
  </si>
  <si>
    <t>SYR-9279</t>
  </si>
  <si>
    <t>CAP-4257</t>
  </si>
  <si>
    <t>OIN-4611</t>
  </si>
  <si>
    <t>TAB-5557</t>
  </si>
  <si>
    <t>SYR-3615</t>
  </si>
  <si>
    <t>CAP-5552</t>
  </si>
  <si>
    <t>OIN-6514</t>
  </si>
  <si>
    <t>TAB-7224</t>
  </si>
  <si>
    <t>SYR-6635</t>
  </si>
  <si>
    <t>CAP-1711</t>
  </si>
  <si>
    <t>OIN-3045</t>
  </si>
  <si>
    <t>TAB-5803</t>
  </si>
  <si>
    <t>SYR-6925</t>
  </si>
  <si>
    <t>CAP-2139</t>
  </si>
  <si>
    <t>OIN-5741</t>
  </si>
  <si>
    <t>TAB-2654</t>
  </si>
  <si>
    <t>SYR-8428</t>
  </si>
  <si>
    <t>CAP-7065</t>
  </si>
  <si>
    <t>OIN-5374</t>
  </si>
  <si>
    <t>TAB-3803</t>
  </si>
  <si>
    <t>SYR-5010</t>
  </si>
  <si>
    <t>CAP-7216</t>
  </si>
  <si>
    <t>OIN-4598</t>
  </si>
  <si>
    <t>TAB-4752</t>
  </si>
  <si>
    <t>SYR-7572</t>
  </si>
  <si>
    <t>CAP-4456</t>
  </si>
  <si>
    <t>OIN-6155</t>
  </si>
  <si>
    <t>TAB-7482</t>
  </si>
  <si>
    <t>SYR-5339</t>
  </si>
  <si>
    <t>CAP-9830</t>
  </si>
  <si>
    <t>OIN-7543</t>
  </si>
  <si>
    <t>TAB-3266</t>
  </si>
  <si>
    <t>SYR-2489</t>
  </si>
  <si>
    <t>CAP-3504</t>
  </si>
  <si>
    <t>OIN-7916</t>
  </si>
  <si>
    <t>TAB-7304</t>
  </si>
  <si>
    <t>SYR-8668</t>
  </si>
  <si>
    <t>CAP-1188</t>
  </si>
  <si>
    <t>OIN-9797</t>
  </si>
  <si>
    <t>TAB-2827</t>
  </si>
  <si>
    <t>SYR-3591</t>
  </si>
  <si>
    <t>CAP-5315</t>
  </si>
  <si>
    <t>OIN-3927</t>
  </si>
  <si>
    <t>TAB-5889</t>
  </si>
  <si>
    <t>SYR-4258</t>
  </si>
  <si>
    <t>CAP-3646</t>
  </si>
  <si>
    <t>OIN-9689</t>
  </si>
  <si>
    <t>TAB-6310</t>
  </si>
  <si>
    <t>SYR-2832</t>
  </si>
  <si>
    <t>CAP-4923</t>
  </si>
  <si>
    <t>OIN-2290</t>
  </si>
  <si>
    <t>TAB-2133</t>
  </si>
  <si>
    <t>SYR-3060</t>
  </si>
  <si>
    <t>CAP-8787</t>
  </si>
  <si>
    <t>OIN-5342</t>
  </si>
  <si>
    <t>TAB-7932</t>
  </si>
  <si>
    <t>SYR-6107</t>
  </si>
  <si>
    <t>CAP-7118</t>
  </si>
  <si>
    <t>OIN-8397</t>
  </si>
  <si>
    <t>TAB-4681</t>
  </si>
  <si>
    <t>SYR-1344</t>
  </si>
  <si>
    <t>CAP-4770</t>
  </si>
  <si>
    <t>OIN-1117</t>
  </si>
  <si>
    <t>TAB-4750</t>
  </si>
  <si>
    <t>SYR-6413</t>
  </si>
  <si>
    <t>CAP-4899</t>
  </si>
  <si>
    <t>OIN-4510</t>
  </si>
  <si>
    <t>TAB-8744</t>
  </si>
  <si>
    <t>SYR-7669</t>
  </si>
  <si>
    <t>CAP-2588</t>
  </si>
  <si>
    <t>OIN-7939</t>
  </si>
  <si>
    <t>TAB-1887</t>
  </si>
  <si>
    <t>SYR-7596</t>
  </si>
  <si>
    <t>CAP-5073</t>
  </si>
  <si>
    <t>OIN-9786</t>
  </si>
  <si>
    <t>TAB-7912</t>
  </si>
  <si>
    <t>SYR-8579</t>
  </si>
  <si>
    <t>CAP-8260</t>
  </si>
  <si>
    <t>OIN-1828</t>
  </si>
  <si>
    <t>TAB-1241</t>
  </si>
  <si>
    <t>SYR-3724</t>
  </si>
  <si>
    <t>CAP-8886</t>
  </si>
  <si>
    <t>OIN-1960</t>
  </si>
  <si>
    <t>TAB-1035</t>
  </si>
  <si>
    <t>SYR-8454</t>
  </si>
  <si>
    <t>CAP-8973</t>
  </si>
  <si>
    <t>OIN-5861</t>
  </si>
  <si>
    <t>TAB-9883</t>
  </si>
  <si>
    <t>SYR-1936</t>
  </si>
  <si>
    <t>CAP-9238</t>
  </si>
  <si>
    <t>OIN-1931</t>
  </si>
  <si>
    <t>TAB-4044</t>
  </si>
  <si>
    <t>SYR-2113</t>
  </si>
  <si>
    <t>CAP-2964</t>
  </si>
  <si>
    <t>OIN-1651</t>
  </si>
  <si>
    <t>TAB-7868</t>
  </si>
  <si>
    <t>SYR-9565</t>
  </si>
  <si>
    <t>CAP-4346</t>
  </si>
  <si>
    <t>OIN-5351</t>
  </si>
  <si>
    <t>TAB-5915</t>
  </si>
  <si>
    <t>SYR-2188</t>
  </si>
  <si>
    <t>CAP-2638</t>
  </si>
  <si>
    <t>OIN-4492</t>
  </si>
  <si>
    <t>TAB-3170</t>
  </si>
  <si>
    <t>SYR-5002</t>
  </si>
  <si>
    <t>CAP-3584</t>
  </si>
  <si>
    <t>OIN-5956</t>
  </si>
  <si>
    <t>TAB-9666</t>
  </si>
  <si>
    <t>SYR-2697</t>
  </si>
  <si>
    <t>CAP-2891</t>
  </si>
  <si>
    <t>OIN-3546</t>
  </si>
  <si>
    <t>TAB-4450</t>
  </si>
  <si>
    <t>SYR-5325</t>
  </si>
  <si>
    <t>CAP-5114</t>
  </si>
  <si>
    <t>TAB-1058</t>
  </si>
  <si>
    <t>SYR-5291</t>
  </si>
  <si>
    <t>CAP-8239</t>
  </si>
  <si>
    <t>OIN-8007</t>
  </si>
  <si>
    <t>TAB-2832</t>
  </si>
  <si>
    <t>SYR-9938</t>
  </si>
  <si>
    <t>CAP-3426</t>
  </si>
  <si>
    <t>OIN-1685</t>
  </si>
  <si>
    <t>TAB-1653</t>
  </si>
  <si>
    <t>SYR-5088</t>
  </si>
  <si>
    <t>CAP-7658</t>
  </si>
  <si>
    <t>OIN-3532</t>
  </si>
  <si>
    <t>TAB-3900</t>
  </si>
  <si>
    <t>SYR-3938</t>
  </si>
  <si>
    <t>CAP-5065</t>
  </si>
  <si>
    <t>OIN-2771</t>
  </si>
  <si>
    <t>TAB-8711</t>
  </si>
  <si>
    <t>SYR-8541</t>
  </si>
  <si>
    <t>CAP-4728</t>
  </si>
  <si>
    <t>OIN-4164</t>
  </si>
  <si>
    <t>TAB-5564</t>
  </si>
  <si>
    <t>SYR-6753</t>
  </si>
  <si>
    <t>CAP-9785</t>
  </si>
  <si>
    <t>OIN-2889</t>
  </si>
  <si>
    <t>TAB-5349</t>
  </si>
  <si>
    <t>SYR-8119</t>
  </si>
  <si>
    <t>CAP-8149</t>
  </si>
  <si>
    <t>OIN-2894</t>
  </si>
  <si>
    <t>TAB-4114</t>
  </si>
  <si>
    <t>SYR-8144</t>
  </si>
  <si>
    <t>CAP-9821</t>
  </si>
  <si>
    <t>OIN-8066</t>
  </si>
  <si>
    <t>TAB-6143</t>
  </si>
  <si>
    <t>SYR-5920</t>
  </si>
  <si>
    <t>CAP-7691</t>
  </si>
  <si>
    <t>OIN-5844</t>
  </si>
  <si>
    <t>TAB-4143</t>
  </si>
  <si>
    <t>SYR-7211</t>
  </si>
  <si>
    <t>CAP-5930</t>
  </si>
  <si>
    <t>OIN-1006</t>
  </si>
  <si>
    <t>TAB-4443</t>
  </si>
  <si>
    <t>SYR-6279</t>
  </si>
  <si>
    <t>CAP-8244</t>
  </si>
  <si>
    <t>OIN-3780</t>
  </si>
  <si>
    <t>TAB-9445</t>
  </si>
  <si>
    <t>SYR-2530</t>
  </si>
  <si>
    <t>CAP-4680</t>
  </si>
  <si>
    <t>OIN-1400</t>
  </si>
  <si>
    <t>TAB-8784</t>
  </si>
  <si>
    <t>SYR-2193</t>
  </si>
  <si>
    <t>CAP-4185</t>
  </si>
  <si>
    <t>OIN-7547</t>
  </si>
  <si>
    <t>TAB-1090</t>
  </si>
  <si>
    <t>SYR-4585</t>
  </si>
  <si>
    <t>CAP-9486</t>
  </si>
  <si>
    <t>OIN-5082</t>
  </si>
  <si>
    <t>TAB-3184</t>
  </si>
  <si>
    <t>SYR-9702</t>
  </si>
  <si>
    <t>CAP-6198</t>
  </si>
  <si>
    <t>OIN-9270</t>
  </si>
  <si>
    <t>TAB-8305</t>
  </si>
  <si>
    <t>SYR-8777</t>
  </si>
  <si>
    <t>CAP-5050</t>
  </si>
  <si>
    <t>OIN-8939</t>
  </si>
  <si>
    <t>TAB-5499</t>
  </si>
  <si>
    <t>SYR-5681</t>
  </si>
  <si>
    <t>CAP-6502</t>
  </si>
  <si>
    <t>OIN-2320</t>
  </si>
  <si>
    <t>TAB-4788</t>
  </si>
  <si>
    <t>SYR-4505</t>
  </si>
  <si>
    <t>CAP-7678</t>
  </si>
  <si>
    <t>OIN-8633</t>
  </si>
  <si>
    <t>TAB-4388</t>
  </si>
  <si>
    <t>SYR-1320</t>
  </si>
  <si>
    <t>CAP-8814</t>
  </si>
  <si>
    <t>OIN-5892</t>
  </si>
  <si>
    <t>TAB-9818</t>
  </si>
  <si>
    <t>SYR-4613</t>
  </si>
  <si>
    <t>CAP-5471</t>
  </si>
  <si>
    <t>OIN-1475</t>
  </si>
  <si>
    <t>TAB-7624</t>
  </si>
  <si>
    <t>SYR-8657</t>
  </si>
  <si>
    <t>CAP-9751</t>
  </si>
  <si>
    <t>OIN-1444</t>
  </si>
  <si>
    <t>TAB-3223</t>
  </si>
  <si>
    <t>SYR-1823</t>
  </si>
  <si>
    <t>CAP-6363</t>
  </si>
  <si>
    <t>OIN-6355</t>
  </si>
  <si>
    <t>TAB-5558</t>
  </si>
  <si>
    <t>SYR-2341</t>
  </si>
  <si>
    <t>CAP-9837</t>
  </si>
  <si>
    <t>OIN-4673</t>
  </si>
  <si>
    <t>TAB-1508</t>
  </si>
  <si>
    <t>SYR-1333</t>
  </si>
  <si>
    <t>CAP-4908</t>
  </si>
  <si>
    <t>OIN-2874</t>
  </si>
  <si>
    <t>TAB-8619</t>
  </si>
  <si>
    <t>SYR-3749</t>
  </si>
  <si>
    <t>CAP-2876</t>
  </si>
  <si>
    <t>TAB-6111</t>
  </si>
  <si>
    <t>SYR-7149</t>
  </si>
  <si>
    <t>CAP-2245</t>
  </si>
  <si>
    <t>OIN-4978</t>
  </si>
  <si>
    <t>TAB-2983</t>
  </si>
  <si>
    <t>SYR-1672</t>
  </si>
  <si>
    <t>CAP-8018</t>
  </si>
  <si>
    <t>OIN-9289</t>
  </si>
  <si>
    <t>TAB-7882</t>
  </si>
  <si>
    <t>SYR-8102</t>
  </si>
  <si>
    <t>CAP-8532</t>
  </si>
  <si>
    <t>OIN-3885</t>
  </si>
  <si>
    <t>TAB-5425</t>
  </si>
  <si>
    <t>SYR-9817</t>
  </si>
  <si>
    <t>CAP-8136</t>
  </si>
  <si>
    <t>OIN-6280</t>
  </si>
  <si>
    <t>TAB-5569</t>
  </si>
  <si>
    <t>SYR-8613</t>
  </si>
  <si>
    <t>CAP-7209</t>
  </si>
  <si>
    <t>OIN-9098</t>
  </si>
  <si>
    <t>TAB-8988</t>
  </si>
  <si>
    <t>SYR-5232</t>
  </si>
  <si>
    <t>CAP-5526</t>
  </si>
  <si>
    <t>OIN-9464</t>
  </si>
  <si>
    <t>TAB-4954</t>
  </si>
  <si>
    <t>SYR-4937</t>
  </si>
  <si>
    <t>CAP-9041</t>
  </si>
  <si>
    <t>OIN-2524</t>
  </si>
  <si>
    <t>TAB-7625</t>
  </si>
  <si>
    <t>SYR-7046</t>
  </si>
  <si>
    <t>CAP-9698</t>
  </si>
  <si>
    <t>OIN-6419</t>
  </si>
  <si>
    <t>TAB-5438</t>
  </si>
  <si>
    <t>SYR-4777</t>
  </si>
  <si>
    <t>CAP-4155</t>
  </si>
  <si>
    <t>OIN-9779</t>
  </si>
  <si>
    <t>TAB-4545</t>
  </si>
  <si>
    <t>SYR-9595</t>
  </si>
  <si>
    <t>CAP-2647</t>
  </si>
  <si>
    <t>OIN-4727</t>
  </si>
  <si>
    <t>TAB-5952</t>
  </si>
  <si>
    <t>SYR-5494</t>
  </si>
  <si>
    <t>CAP-5786</t>
  </si>
  <si>
    <t>OIN-9042</t>
  </si>
  <si>
    <t>TAB-5658</t>
  </si>
  <si>
    <t>SYR-8216</t>
  </si>
  <si>
    <t>CAP-1841</t>
  </si>
  <si>
    <t>OIN-2869</t>
  </si>
  <si>
    <t>TAB-9056</t>
  </si>
  <si>
    <t>SYR-1878</t>
  </si>
  <si>
    <t>CAP-5978</t>
  </si>
  <si>
    <t>OIN-2940</t>
  </si>
  <si>
    <t>TAB-7818</t>
  </si>
  <si>
    <t>SYR-4697</t>
  </si>
  <si>
    <t>CAP-8381</t>
  </si>
  <si>
    <t>OIN-8025</t>
  </si>
  <si>
    <t>TAB-1986</t>
  </si>
  <si>
    <t>SYR-2625</t>
  </si>
  <si>
    <t>CAP-4457</t>
  </si>
  <si>
    <t>OIN-3573</t>
  </si>
  <si>
    <t>TAB-2229</t>
  </si>
  <si>
    <t>SYR-7693</t>
  </si>
  <si>
    <t>CAP-8699</t>
  </si>
  <si>
    <t>OIN-4792</t>
  </si>
  <si>
    <t>TAB-8438</t>
  </si>
  <si>
    <t>SYR-5334</t>
  </si>
  <si>
    <t>CAP-4241</t>
  </si>
  <si>
    <t>OIN-9922</t>
  </si>
  <si>
    <t>TAB-5352</t>
  </si>
  <si>
    <t>SYR-1977</t>
  </si>
  <si>
    <t>CAP-6039</t>
  </si>
  <si>
    <t>OIN-5728</t>
  </si>
  <si>
    <t>TAB-8679</t>
  </si>
  <si>
    <t>SYR-5460</t>
  </si>
  <si>
    <t>CAP-9090</t>
  </si>
  <si>
    <t>OIN-1653</t>
  </si>
  <si>
    <t>TAB-6280</t>
  </si>
  <si>
    <t>SYR-1423</t>
  </si>
  <si>
    <t>CAP-1339</t>
  </si>
  <si>
    <t>OIN-3870</t>
  </si>
  <si>
    <t>TAB-8245</t>
  </si>
  <si>
    <t>SYR-8141</t>
  </si>
  <si>
    <t>CAP-8700</t>
  </si>
  <si>
    <t>OIN-6460</t>
  </si>
  <si>
    <t>TAB-3634</t>
  </si>
  <si>
    <t>SYR-9117</t>
  </si>
  <si>
    <t>CAP-1601</t>
  </si>
  <si>
    <t>OIN-6153</t>
  </si>
  <si>
    <t>TAB-2899</t>
  </si>
  <si>
    <t>SYR-1018</t>
  </si>
  <si>
    <t>CAP-7770</t>
  </si>
  <si>
    <t>OIN-9494</t>
  </si>
  <si>
    <t>TAB-9167</t>
  </si>
  <si>
    <t>SYR-1845</t>
  </si>
  <si>
    <t>CAP-9998</t>
  </si>
  <si>
    <t>OIN-8178</t>
  </si>
  <si>
    <t>TAB-1472</t>
  </si>
  <si>
    <t>SYR-4920</t>
  </si>
  <si>
    <t>CAP-1224</t>
  </si>
  <si>
    <t>OIN-2527</t>
  </si>
  <si>
    <t>TAB-8560</t>
  </si>
  <si>
    <t>SYR-3522</t>
  </si>
  <si>
    <t>CAP-5781</t>
  </si>
  <si>
    <t>OIN-5479</t>
  </si>
  <si>
    <t>TAB-8736</t>
  </si>
  <si>
    <t>SYR-3369</t>
  </si>
  <si>
    <t>CAP-9327</t>
  </si>
  <si>
    <t>OIN-5526</t>
  </si>
  <si>
    <t>TAB-9318</t>
  </si>
  <si>
    <t>SYR-5634</t>
  </si>
  <si>
    <t>CAP-9022</t>
  </si>
  <si>
    <t>OIN-9824</t>
  </si>
  <si>
    <t>TAB-6446</t>
  </si>
  <si>
    <t>SYR-9903</t>
  </si>
  <si>
    <t>CAP-6272</t>
  </si>
  <si>
    <t>OIN-4912</t>
  </si>
  <si>
    <t>TAB-4826</t>
  </si>
  <si>
    <t>SYR-6213</t>
  </si>
  <si>
    <t>CAP-7246</t>
  </si>
  <si>
    <t>OIN-3492</t>
  </si>
  <si>
    <t>TAB-3068</t>
  </si>
  <si>
    <t>SYR-6439</t>
  </si>
  <si>
    <t>CAP-2633</t>
  </si>
  <si>
    <t>OIN-1251</t>
  </si>
  <si>
    <t>TAB-3529</t>
  </si>
  <si>
    <t>SYR-5342</t>
  </si>
  <si>
    <t>CAP-7512</t>
  </si>
  <si>
    <t>OIN-9742</t>
  </si>
  <si>
    <t>TAB-8994</t>
  </si>
  <si>
    <t>SYR-2121</t>
  </si>
  <si>
    <t>CAP-4727</t>
  </si>
  <si>
    <t>OIN-2612</t>
  </si>
  <si>
    <t>TAB-3725</t>
  </si>
  <si>
    <t>SYR-1753</t>
  </si>
  <si>
    <t>CAP-5806</t>
  </si>
  <si>
    <t>OIN-8056</t>
  </si>
  <si>
    <t>TAB-9702</t>
  </si>
  <si>
    <t>SYR-3950</t>
  </si>
  <si>
    <t>CAP-2293</t>
  </si>
  <si>
    <t>OIN-7267</t>
  </si>
  <si>
    <t>TAB-4945</t>
  </si>
  <si>
    <t>SYR-3344</t>
  </si>
  <si>
    <t>CAP-5161</t>
  </si>
  <si>
    <t>OIN-1153</t>
  </si>
  <si>
    <t>TAB-9955</t>
  </si>
  <si>
    <t>SYR-8237</t>
  </si>
  <si>
    <t>CAP-5901</t>
  </si>
  <si>
    <t>OIN-5097</t>
  </si>
  <si>
    <t>TAB-4263</t>
  </si>
  <si>
    <t>SYR-2747</t>
  </si>
  <si>
    <t>CAP-6881</t>
  </si>
  <si>
    <t>OIN-5837</t>
  </si>
  <si>
    <t>TAB-5497</t>
  </si>
  <si>
    <t>SYR-9138</t>
  </si>
  <si>
    <t>CAP-6772</t>
  </si>
  <si>
    <t>OIN-5106</t>
  </si>
  <si>
    <t>TAB-2591</t>
  </si>
  <si>
    <t>SYR-1645</t>
  </si>
  <si>
    <t>CAP-1546</t>
  </si>
  <si>
    <t>OIN-3153</t>
  </si>
  <si>
    <t>TAB-6352</t>
  </si>
  <si>
    <t>SYR-4289</t>
  </si>
  <si>
    <t>CAP-6994</t>
  </si>
  <si>
    <t>OIN-5465</t>
  </si>
  <si>
    <t>TAB-8894</t>
  </si>
  <si>
    <t>SYR-2886</t>
  </si>
  <si>
    <t>CAP-3306</t>
  </si>
  <si>
    <t>OIN-6992</t>
  </si>
  <si>
    <t>TAB-1228</t>
  </si>
  <si>
    <t>SYR-8451</t>
  </si>
  <si>
    <t>CAP-5295</t>
  </si>
  <si>
    <t>OIN-7086</t>
  </si>
  <si>
    <t>TAB-4830</t>
  </si>
  <si>
    <t>SYR-6374</t>
  </si>
  <si>
    <t>CAP-2035</t>
  </si>
  <si>
    <t>OIN-5951</t>
  </si>
  <si>
    <t>TAB-3290</t>
  </si>
  <si>
    <t>SYR-5986</t>
  </si>
  <si>
    <t>CAP-2592</t>
  </si>
  <si>
    <t>OIN-7367</t>
  </si>
  <si>
    <t>TAB-9850</t>
  </si>
  <si>
    <t>SYR-3531</t>
  </si>
  <si>
    <t>CAP-2622</t>
  </si>
  <si>
    <t>OIN-7686</t>
  </si>
  <si>
    <t>TAB-7070</t>
  </si>
  <si>
    <t>SYR-8285</t>
  </si>
  <si>
    <t>CAP-2627</t>
  </si>
  <si>
    <t>OIN-6876</t>
  </si>
  <si>
    <t>TAB-5520</t>
  </si>
  <si>
    <t>SYR-8450</t>
  </si>
  <si>
    <t>CAP-4475</t>
  </si>
  <si>
    <t>TAB-3063</t>
  </si>
  <si>
    <t>SYR-2124</t>
  </si>
  <si>
    <t>CAP-4538</t>
  </si>
  <si>
    <t>OIN-3417</t>
  </si>
  <si>
    <t>TAB-5542</t>
  </si>
  <si>
    <t>SYR-9850</t>
  </si>
  <si>
    <t>CAP-2801</t>
  </si>
  <si>
    <t>OIN-1243</t>
  </si>
  <si>
    <t>TAB-6304</t>
  </si>
  <si>
    <t>SYR-5347</t>
  </si>
  <si>
    <t>CAP-7897</t>
  </si>
  <si>
    <t>OIN-2041</t>
  </si>
  <si>
    <t>TAB-6931</t>
  </si>
  <si>
    <t>SYR-2786</t>
  </si>
  <si>
    <t>CAP-4629</t>
  </si>
  <si>
    <t>OIN-9543</t>
  </si>
  <si>
    <t>TAB-1510</t>
  </si>
  <si>
    <t>SYR-7580</t>
  </si>
  <si>
    <t>CAP-2768</t>
  </si>
  <si>
    <t>OIN-8267</t>
  </si>
  <si>
    <t>TAB-6277</t>
  </si>
  <si>
    <t>SYR-2076</t>
  </si>
  <si>
    <t>CAP-9984</t>
  </si>
  <si>
    <t>OIN-9692</t>
  </si>
  <si>
    <t>TAB-9282</t>
  </si>
  <si>
    <t>SYR-2624</t>
  </si>
  <si>
    <t>CAP-4522</t>
  </si>
  <si>
    <t>OIN-4743</t>
  </si>
  <si>
    <t>TAB-8430</t>
  </si>
  <si>
    <t>SYR-2557</t>
  </si>
  <si>
    <t>CAP-6120</t>
  </si>
  <si>
    <t>OIN-3500</t>
  </si>
  <si>
    <t>TAB-2494</t>
  </si>
  <si>
    <t>SYR-8075</t>
  </si>
  <si>
    <t>CAP-3131</t>
  </si>
  <si>
    <t>OIN-6400</t>
  </si>
  <si>
    <t>TAB-6793</t>
  </si>
  <si>
    <t>SYR-1842</t>
  </si>
  <si>
    <t>CAP-6761</t>
  </si>
  <si>
    <t>OIN-9313</t>
  </si>
  <si>
    <t>TAB-8900</t>
  </si>
  <si>
    <t>SYR-6736</t>
  </si>
  <si>
    <t>CAP-2882</t>
  </si>
  <si>
    <t>OIN-8030</t>
  </si>
  <si>
    <t>TAB-1430</t>
  </si>
  <si>
    <t>SYR-5381</t>
  </si>
  <si>
    <t>CAP-5477</t>
  </si>
  <si>
    <t>OIN-6751</t>
  </si>
  <si>
    <t>TAB-3347</t>
  </si>
  <si>
    <t>SYR-7566</t>
  </si>
  <si>
    <t>CAP-1502</t>
  </si>
  <si>
    <t>OIN-4524</t>
  </si>
  <si>
    <t>TAB-8432</t>
  </si>
  <si>
    <t>SYR-7062</t>
  </si>
  <si>
    <t>CAP-2391</t>
  </si>
  <si>
    <t>OIN-3579</t>
  </si>
  <si>
    <t>TAB-2336</t>
  </si>
  <si>
    <t>SYR-7947</t>
  </si>
  <si>
    <t>CAP-8242</t>
  </si>
  <si>
    <t>OIN-4531</t>
  </si>
  <si>
    <t>TAB-6655</t>
  </si>
  <si>
    <t>SYR-5640</t>
  </si>
  <si>
    <t>CAP-9633</t>
  </si>
  <si>
    <t>OIN-4612</t>
  </si>
  <si>
    <t>TAB-1897</t>
  </si>
  <si>
    <t>SYR-5938</t>
  </si>
  <si>
    <t>CAP-5186</t>
  </si>
  <si>
    <t>OIN-2965</t>
  </si>
  <si>
    <t>TAB-8055</t>
  </si>
  <si>
    <t>SYR-7229</t>
  </si>
  <si>
    <t>OIN-6802</t>
  </si>
  <si>
    <t>TAB-1693</t>
  </si>
  <si>
    <t>SYR-8532</t>
  </si>
  <si>
    <t>CAP-8033</t>
  </si>
  <si>
    <t>OIN-7843</t>
  </si>
  <si>
    <t>TAB-7636</t>
  </si>
  <si>
    <t>SYR-3815</t>
  </si>
  <si>
    <t>CAP-6928</t>
  </si>
  <si>
    <t>OIN-2734</t>
  </si>
  <si>
    <t>TAB-7560</t>
  </si>
  <si>
    <t>SYR-7484</t>
  </si>
  <si>
    <t>CAP-4630</t>
  </si>
  <si>
    <t>OIN-2251</t>
  </si>
  <si>
    <t>TAB-2868</t>
  </si>
  <si>
    <t>SYR-4176</t>
  </si>
  <si>
    <t>CAP-3419</t>
  </si>
  <si>
    <t>OIN-3399</t>
  </si>
  <si>
    <t>TAB-3842</t>
  </si>
  <si>
    <t>SYR-2234</t>
  </si>
  <si>
    <t>CAP-9095</t>
  </si>
  <si>
    <t>OIN-8354</t>
  </si>
  <si>
    <t>TAB-6295</t>
  </si>
  <si>
    <t>SYR-3473</t>
  </si>
  <si>
    <t>CAP-8682</t>
  </si>
  <si>
    <t>OIN-5961</t>
  </si>
  <si>
    <t>TAB-6766</t>
  </si>
  <si>
    <t>SYR-6085</t>
  </si>
  <si>
    <t>CAP-1616</t>
  </si>
  <si>
    <t>OIN-5703</t>
  </si>
  <si>
    <t>TAB-9307</t>
  </si>
  <si>
    <t>CAP-4084</t>
  </si>
  <si>
    <t>OIN-8792</t>
  </si>
  <si>
    <t>TAB-2013</t>
  </si>
  <si>
    <t>SYR-6626</t>
  </si>
  <si>
    <t>CAP-3827</t>
  </si>
  <si>
    <t>OIN-8172</t>
  </si>
  <si>
    <t>TAB-9564</t>
  </si>
  <si>
    <t>SYR-6962</t>
  </si>
  <si>
    <t>CAP-7347</t>
  </si>
  <si>
    <t>OIN-1857</t>
  </si>
  <si>
    <t>TAB-6482</t>
  </si>
  <si>
    <t>SYR-2548</t>
  </si>
  <si>
    <t>CAP-7333</t>
  </si>
  <si>
    <t>OIN-3463</t>
  </si>
  <si>
    <t>TAB-3317</t>
  </si>
  <si>
    <t>SYR-7421</t>
  </si>
  <si>
    <t>CAP-2388</t>
  </si>
  <si>
    <t>OIN-7171</t>
  </si>
  <si>
    <t>TAB-9624</t>
  </si>
  <si>
    <t>SYR-7937</t>
  </si>
  <si>
    <t>CAP-1298</t>
  </si>
  <si>
    <t>OIN-3953</t>
  </si>
  <si>
    <t>TAB-8967</t>
  </si>
  <si>
    <t>SYR-3253</t>
  </si>
  <si>
    <t>CAP-5846</t>
  </si>
  <si>
    <t>OIN-9843</t>
  </si>
  <si>
    <t>TAB-6517</t>
  </si>
  <si>
    <t>SYR-7172</t>
  </si>
  <si>
    <t>CAP-3962</t>
  </si>
  <si>
    <t>OIN-3712</t>
  </si>
  <si>
    <t>TAB-7731</t>
  </si>
  <si>
    <t>SYR-8277</t>
  </si>
  <si>
    <t>CAP-8355</t>
  </si>
  <si>
    <t>OIN-6070</t>
  </si>
  <si>
    <t>TAB-7026</t>
  </si>
  <si>
    <t>SYR-8564</t>
  </si>
  <si>
    <t>CAP-9239</t>
  </si>
  <si>
    <t>OIN-3655</t>
  </si>
  <si>
    <t>TAB-3267</t>
  </si>
  <si>
    <t>SYR-8873</t>
  </si>
  <si>
    <t>CAP-2680</t>
  </si>
  <si>
    <t>OIN-5670</t>
  </si>
  <si>
    <t>TAB-5469</t>
  </si>
  <si>
    <t>SYR-3414</t>
  </si>
  <si>
    <t>CAP-4637</t>
  </si>
  <si>
    <t>OIN-1436</t>
  </si>
  <si>
    <t>TAB-7495</t>
  </si>
  <si>
    <t>SYR-4862</t>
  </si>
  <si>
    <t>CAP-7142</t>
  </si>
  <si>
    <t>OIN-6221</t>
  </si>
  <si>
    <t>TAB-6493</t>
  </si>
  <si>
    <t>SYR-1627</t>
  </si>
  <si>
    <t>CAP-3273</t>
  </si>
  <si>
    <t>OIN-1086</t>
  </si>
  <si>
    <t>TAB-5193</t>
  </si>
  <si>
    <t>SYR-9991</t>
  </si>
  <si>
    <t>CAP-7934</t>
  </si>
  <si>
    <t>OIN-4893</t>
  </si>
  <si>
    <t>TAB-1782</t>
  </si>
  <si>
    <t>SYR-8489</t>
  </si>
  <si>
    <t>CAP-9189</t>
  </si>
  <si>
    <t>OIN-1269</t>
  </si>
  <si>
    <t>TAB-4963</t>
  </si>
  <si>
    <t>SYR-8032</t>
  </si>
  <si>
    <t>CAP-6780</t>
  </si>
  <si>
    <t>OIN-4068</t>
  </si>
  <si>
    <t>TAB-6908</t>
  </si>
  <si>
    <t>SYR-9914</t>
  </si>
  <si>
    <t>CAP-9316</t>
  </si>
  <si>
    <t>OIN-7397</t>
  </si>
  <si>
    <t>TAB-7338</t>
  </si>
  <si>
    <t>SYR-1266</t>
  </si>
  <si>
    <t>CAP-6649</t>
  </si>
  <si>
    <t>OIN-6447</t>
  </si>
  <si>
    <t>TAB-6772</t>
  </si>
  <si>
    <t>SYR-3868</t>
  </si>
  <si>
    <t>CAP-8840</t>
  </si>
  <si>
    <t>OIN-3209</t>
  </si>
  <si>
    <t>TAB-1605</t>
  </si>
  <si>
    <t>SYR-1717</t>
  </si>
  <si>
    <t>CAP-1686</t>
  </si>
  <si>
    <t>OIN-9444</t>
  </si>
  <si>
    <t>TAB-8756</t>
  </si>
  <si>
    <t>SYR-4131</t>
  </si>
  <si>
    <t>CAP-1783</t>
  </si>
  <si>
    <t>OIN-3039</t>
  </si>
  <si>
    <t>TAB-7553</t>
  </si>
  <si>
    <t>SYR-6554</t>
  </si>
  <si>
    <t>CAP-9151</t>
  </si>
  <si>
    <t>OIN-5369</t>
  </si>
  <si>
    <t>TAB-2293</t>
  </si>
  <si>
    <t>SYR-3956</t>
  </si>
  <si>
    <t>CAP-6262</t>
  </si>
  <si>
    <t>OIN-6372</t>
  </si>
  <si>
    <t>SYR-7981</t>
  </si>
  <si>
    <t>CAP-8272</t>
  </si>
  <si>
    <t>OIN-1693</t>
  </si>
  <si>
    <t>TAB-8126</t>
  </si>
  <si>
    <t>SYR-2229</t>
  </si>
  <si>
    <t>CAP-9406</t>
  </si>
  <si>
    <t>OIN-3339</t>
  </si>
  <si>
    <t>TAB-8179</t>
  </si>
  <si>
    <t>SYR-2101</t>
  </si>
  <si>
    <t>CAP-6933</t>
  </si>
  <si>
    <t>OIN-1530</t>
  </si>
  <si>
    <t>TAB-8371</t>
  </si>
  <si>
    <t>SYR-8273</t>
  </si>
  <si>
    <t>CAP-3255</t>
  </si>
  <si>
    <t>OIN-7521</t>
  </si>
  <si>
    <t>TAB-5089</t>
  </si>
  <si>
    <t>SYR-4048</t>
  </si>
  <si>
    <t>CAP-7340</t>
  </si>
  <si>
    <t>OIN-5288</t>
  </si>
  <si>
    <t>TAB-4515</t>
  </si>
  <si>
    <t>SYR-9047</t>
  </si>
  <si>
    <t>CAP-3223</t>
  </si>
  <si>
    <t>OIN-3828</t>
  </si>
  <si>
    <t>TAB-6236</t>
  </si>
  <si>
    <t>SYR-9882</t>
  </si>
  <si>
    <t>CAP-3580</t>
  </si>
  <si>
    <t>OIN-6922</t>
  </si>
  <si>
    <t>TAB-2988</t>
  </si>
  <si>
    <t>SYR-3275</t>
  </si>
  <si>
    <t>CAP-1430</t>
  </si>
  <si>
    <t>OIN-7044</t>
  </si>
  <si>
    <t>TAB-3126</t>
  </si>
  <si>
    <t>SYR-2412</t>
  </si>
  <si>
    <t>CAP-7523</t>
  </si>
  <si>
    <t>OIN-7730</t>
  </si>
  <si>
    <t>TAB-2208</t>
  </si>
  <si>
    <t>SYR-2215</t>
  </si>
  <si>
    <t>CAP-9476</t>
  </si>
  <si>
    <t>OIN-3981</t>
  </si>
  <si>
    <t>TAB-9238</t>
  </si>
  <si>
    <t>SYR-9488</t>
  </si>
  <si>
    <t>CAP-3697</t>
  </si>
  <si>
    <t>OIN-4694</t>
  </si>
  <si>
    <t>TAB-5653</t>
  </si>
  <si>
    <t>SYR-4216</t>
  </si>
  <si>
    <t>CAP-3050</t>
  </si>
  <si>
    <t>OIN-9740</t>
  </si>
  <si>
    <t>TAB-3762</t>
  </si>
  <si>
    <t>SYR-3526</t>
  </si>
  <si>
    <t>CAP-6531</t>
  </si>
  <si>
    <t>OIN-1464</t>
  </si>
  <si>
    <t>TAB-5336</t>
  </si>
  <si>
    <t>SYR-7825</t>
  </si>
  <si>
    <t>CAP-1496</t>
  </si>
  <si>
    <t>OIN-9938</t>
  </si>
  <si>
    <t>TAB-8912</t>
  </si>
  <si>
    <t>SYR-5873</t>
  </si>
  <si>
    <t>CAP-1981</t>
  </si>
  <si>
    <t>OIN-7809</t>
  </si>
  <si>
    <t>TAB-4342</t>
  </si>
  <si>
    <t>SYR-3353</t>
  </si>
  <si>
    <t>CAP-6658</t>
  </si>
  <si>
    <t>OIN-7070</t>
  </si>
  <si>
    <t>TAB-2739</t>
  </si>
  <si>
    <t>SYR-8642</t>
  </si>
  <si>
    <t>CAP-8366</t>
  </si>
  <si>
    <t>OIN-2586</t>
  </si>
  <si>
    <t>TAB-7293</t>
  </si>
  <si>
    <t>SYR-5067</t>
  </si>
  <si>
    <t>CAP-6123</t>
  </si>
  <si>
    <t>OIN-3610</t>
  </si>
  <si>
    <t>TAB-8648</t>
  </si>
  <si>
    <t>SYR-9148</t>
  </si>
  <si>
    <t>CAP-7442</t>
  </si>
  <si>
    <t>OIN-4944</t>
  </si>
  <si>
    <t>TAB-1797</t>
  </si>
  <si>
    <t>SYR-9108</t>
  </si>
  <si>
    <t>CAP-8710</t>
  </si>
  <si>
    <t>OIN-1133</t>
  </si>
  <si>
    <t>TAB-3194</t>
  </si>
  <si>
    <t>SYR-7606</t>
  </si>
  <si>
    <t>CAP-7563</t>
  </si>
  <si>
    <t>OIN-4189</t>
  </si>
  <si>
    <t>TAB-5728</t>
  </si>
  <si>
    <t>SYR-9261</t>
  </si>
  <si>
    <t>CAP-5582</t>
  </si>
  <si>
    <t>OIN-2946</t>
  </si>
  <si>
    <t>TAB-7453</t>
  </si>
  <si>
    <t>SYR-6990</t>
  </si>
  <si>
    <t>CAP-9341</t>
  </si>
  <si>
    <t>OIN-1659</t>
  </si>
  <si>
    <t>TAB-3245</t>
  </si>
  <si>
    <t>SYR-9508</t>
  </si>
  <si>
    <t>CAP-9446</t>
  </si>
  <si>
    <t>OIN-6218</t>
  </si>
  <si>
    <t>TAB-5902</t>
  </si>
  <si>
    <t>SYR-9311</t>
  </si>
  <si>
    <t>CAP-9025</t>
  </si>
  <si>
    <t>OIN-8780</t>
  </si>
  <si>
    <t>TAB-6427</t>
  </si>
  <si>
    <t>SYR-6040</t>
  </si>
  <si>
    <t>CAP-8775</t>
  </si>
  <si>
    <t>OIN-1841</t>
  </si>
  <si>
    <t>TAB-3793</t>
  </si>
  <si>
    <t>CAP-4968</t>
  </si>
  <si>
    <t>OIN-4125</t>
  </si>
  <si>
    <t>TAB-6139</t>
  </si>
  <si>
    <t>SYR-7765</t>
  </si>
  <si>
    <t>CAP-9221</t>
  </si>
  <si>
    <t>OIN-8726</t>
  </si>
  <si>
    <t>TAB-9498</t>
  </si>
  <si>
    <t>SYR-6325</t>
  </si>
  <si>
    <t>CAP-7173</t>
  </si>
  <si>
    <t>OIN-8531</t>
  </si>
  <si>
    <t>Month</t>
  </si>
  <si>
    <t>Pass_Rate</t>
  </si>
  <si>
    <t>Row Labels</t>
  </si>
  <si>
    <t>Grand Total</t>
  </si>
  <si>
    <t>Sum of Passed</t>
  </si>
  <si>
    <t>Sum of Failed</t>
  </si>
  <si>
    <t>Column Labels</t>
  </si>
  <si>
    <t>Total Sum of Passed</t>
  </si>
  <si>
    <t>Total Sum of Failed</t>
  </si>
  <si>
    <t>Jan</t>
  </si>
  <si>
    <t>Feb</t>
  </si>
  <si>
    <t>Mar</t>
  </si>
  <si>
    <t>Apr</t>
  </si>
  <si>
    <t>May</t>
  </si>
  <si>
    <t>Jun</t>
  </si>
  <si>
    <t>Average of Pass_Rate</t>
  </si>
  <si>
    <t>Total Tests Done</t>
  </si>
  <si>
    <t>Total Passed</t>
  </si>
  <si>
    <t>Total Failed</t>
  </si>
  <si>
    <t xml:space="preserve">Overall Pass Rate </t>
  </si>
  <si>
    <t>Sum of Tests_Done</t>
  </si>
  <si>
    <t>Sum of 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</si>
</sst>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b/>
      <sz val="13"/>
      <color theme="1"/>
      <name val="Trebuchet MS"/>
      <family val="2"/>
      <scheme val="minor"/>
    </font>
    <font>
      <sz val="13"/>
      <color theme="1"/>
      <name val="Trebuchet MS"/>
      <family val="2"/>
      <scheme val="minor"/>
    </font>
    <font>
      <sz val="10"/>
      <color theme="1"/>
      <name val="Arial Unicode MS"/>
    </font>
    <font>
      <sz val="13"/>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3">
    <xf numFmtId="0" fontId="0" fillId="0" borderId="0" xfId="0"/>
    <xf numFmtId="0" fontId="0" fillId="0" borderId="10" xfId="0" applyBorder="1"/>
    <xf numFmtId="14" fontId="0" fillId="0" borderId="10" xfId="0" applyNumberFormat="1" applyBorder="1"/>
    <xf numFmtId="0" fontId="19" fillId="0" borderId="10" xfId="0" applyFont="1" applyBorder="1"/>
    <xf numFmtId="0" fontId="0" fillId="0" borderId="10" xfId="0" pivotButton="1" applyBorder="1"/>
    <xf numFmtId="0" fontId="0" fillId="0" borderId="10" xfId="0" applyBorder="1" applyAlignment="1">
      <alignment horizontal="left"/>
    </xf>
    <xf numFmtId="9" fontId="20" fillId="0" borderId="0" xfId="42" applyFont="1"/>
    <xf numFmtId="9" fontId="0" fillId="0" borderId="0" xfId="42" applyFont="1"/>
    <xf numFmtId="9" fontId="0" fillId="0" borderId="10" xfId="42" applyFont="1" applyBorder="1"/>
    <xf numFmtId="0" fontId="0" fillId="0" borderId="11" xfId="0" applyBorder="1"/>
    <xf numFmtId="0" fontId="0" fillId="0" borderId="12" xfId="0" pivotButton="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4" xfId="0" pivotButton="1" applyBorder="1"/>
    <xf numFmtId="0" fontId="0" fillId="0" borderId="14" xfId="0" applyBorder="1" applyAlignment="1">
      <alignment horizontal="left"/>
    </xf>
    <xf numFmtId="0" fontId="0" fillId="0" borderId="16" xfId="0" applyBorder="1" applyAlignment="1">
      <alignment horizontal="left"/>
    </xf>
    <xf numFmtId="0" fontId="0" fillId="0" borderId="11" xfId="0" pivotButton="1" applyBorder="1"/>
    <xf numFmtId="9" fontId="0" fillId="0" borderId="15" xfId="0" applyNumberFormat="1" applyBorder="1"/>
    <xf numFmtId="9" fontId="0" fillId="0" borderId="17" xfId="0" applyNumberFormat="1" applyBorder="1"/>
    <xf numFmtId="9" fontId="0" fillId="0" borderId="18" xfId="0" applyNumberFormat="1" applyBorder="1"/>
    <xf numFmtId="9" fontId="0" fillId="0" borderId="0" xfId="0" applyNumberFormat="1"/>
    <xf numFmtId="0" fontId="0" fillId="0" borderId="17" xfId="0" applyBorder="1"/>
    <xf numFmtId="0" fontId="0" fillId="0" borderId="18" xfId="0" applyBorder="1"/>
    <xf numFmtId="14" fontId="19" fillId="0" borderId="19" xfId="0" applyNumberFormat="1" applyFont="1" applyBorder="1"/>
    <xf numFmtId="9" fontId="21" fillId="0" borderId="20" xfId="42" applyFont="1" applyBorder="1"/>
    <xf numFmtId="0" fontId="18" fillId="0" borderId="21" xfId="0" applyFont="1" applyBorder="1"/>
    <xf numFmtId="0" fontId="18" fillId="0" borderId="22" xfId="0" applyFont="1" applyBorder="1"/>
    <xf numFmtId="9" fontId="18" fillId="0" borderId="23" xfId="42" applyFont="1" applyBorder="1"/>
    <xf numFmtId="14" fontId="19" fillId="0" borderId="24" xfId="0" applyNumberFormat="1" applyFont="1" applyBorder="1"/>
    <xf numFmtId="0" fontId="19" fillId="0" borderId="25" xfId="0" applyFont="1" applyBorder="1"/>
    <xf numFmtId="9" fontId="21" fillId="0" borderId="26" xfId="42"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
    <dxf>
      <font>
        <b/>
        <i val="0"/>
        <strike val="0"/>
        <condense val="0"/>
        <extend val="0"/>
        <outline val="0"/>
        <shadow val="0"/>
        <u val="none"/>
        <vertAlign val="baseline"/>
        <sz val="13"/>
        <color theme="1"/>
        <name val="Trebuchet MS"/>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Trebuchet MS"/>
        <family val="2"/>
        <scheme val="minor"/>
      </font>
    </dxf>
    <dxf>
      <font>
        <b val="0"/>
        <i val="0"/>
        <strike val="0"/>
        <condense val="0"/>
        <extend val="0"/>
        <outline val="0"/>
        <shadow val="0"/>
        <u val="none"/>
        <vertAlign val="baseline"/>
        <sz val="13"/>
        <color theme="1"/>
        <name val="Arial Unicode MS"/>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3"/>
        <color theme="1"/>
        <name val="Trebuchet MS"/>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rebuchet MS"/>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rebuchet MS"/>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rebuchet MS"/>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rebuchet MS"/>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rebuchet MS"/>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rebuchet MS"/>
        <family val="2"/>
        <scheme val="minor"/>
      </font>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numFmt numFmtId="13" formatCode="0%"/>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[Pharma_QC_Test_Results (Recovered).xlsx]Pass vs Fail Distribution!PivotTable1</c:name>
    <c:fmtId val="0"/>
  </c:pivotSource>
  <c:chart>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plotArea>
      <c:layout/>
      <c:doughnutChart>
        <c:varyColors val="1"/>
        <c:ser>
          <c:idx val="0"/>
          <c:order val="0"/>
          <c:tx>
            <c:strRef>
              <c:f>'Pass vs Fail Distribution'!$B$3:$B$6</c:f>
              <c:strCache>
                <c:ptCount val="1"/>
                <c:pt idx="0">
                  <c:v>Sum of Passed - Jan</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D520-4D12-AB0D-D812044CE935}"/>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D520-4D12-AB0D-D812044CE935}"/>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D520-4D12-AB0D-D812044CE935}"/>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D520-4D12-AB0D-D812044CE935}"/>
              </c:ext>
            </c:extLst>
          </c:dPt>
          <c:cat>
            <c:strRef>
              <c:f>'Pass vs Fail Distribution'!$A$7:$A$11</c:f>
              <c:strCache>
                <c:ptCount val="4"/>
                <c:pt idx="0">
                  <c:v>Capsule-C</c:v>
                </c:pt>
                <c:pt idx="1">
                  <c:v>Ointment-D</c:v>
                </c:pt>
                <c:pt idx="2">
                  <c:v>Syrup-B</c:v>
                </c:pt>
                <c:pt idx="3">
                  <c:v>Tablet-A</c:v>
                </c:pt>
              </c:strCache>
            </c:strRef>
          </c:cat>
          <c:val>
            <c:numRef>
              <c:f>'Pass vs Fail Distribution'!$B$7:$B$11</c:f>
              <c:numCache>
                <c:formatCode>General</c:formatCode>
                <c:ptCount val="4"/>
                <c:pt idx="0">
                  <c:v>1718</c:v>
                </c:pt>
                <c:pt idx="1">
                  <c:v>1547</c:v>
                </c:pt>
                <c:pt idx="2">
                  <c:v>1479</c:v>
                </c:pt>
                <c:pt idx="3">
                  <c:v>1450</c:v>
                </c:pt>
              </c:numCache>
            </c:numRef>
          </c:val>
          <c:extLst>
            <c:ext xmlns:c16="http://schemas.microsoft.com/office/drawing/2014/chart" uri="{C3380CC4-5D6E-409C-BE32-E72D297353CC}">
              <c16:uniqueId val="{00000000-7529-4DC6-A116-8A5B0E2E39DA}"/>
            </c:ext>
          </c:extLst>
        </c:ser>
        <c:ser>
          <c:idx val="1"/>
          <c:order val="1"/>
          <c:tx>
            <c:strRef>
              <c:f>'Pass vs Fail Distribution'!$C$3:$C$6</c:f>
              <c:strCache>
                <c:ptCount val="1"/>
                <c:pt idx="0">
                  <c:v>Sum of Passed - Feb</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D520-4D12-AB0D-D812044CE935}"/>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D520-4D12-AB0D-D812044CE935}"/>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D520-4D12-AB0D-D812044CE935}"/>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F-D520-4D12-AB0D-D812044CE935}"/>
              </c:ext>
            </c:extLst>
          </c:dPt>
          <c:cat>
            <c:strRef>
              <c:f>'Pass vs Fail Distribution'!$A$7:$A$11</c:f>
              <c:strCache>
                <c:ptCount val="4"/>
                <c:pt idx="0">
                  <c:v>Capsule-C</c:v>
                </c:pt>
                <c:pt idx="1">
                  <c:v>Ointment-D</c:v>
                </c:pt>
                <c:pt idx="2">
                  <c:v>Syrup-B</c:v>
                </c:pt>
                <c:pt idx="3">
                  <c:v>Tablet-A</c:v>
                </c:pt>
              </c:strCache>
            </c:strRef>
          </c:cat>
          <c:val>
            <c:numRef>
              <c:f>'Pass vs Fail Distribution'!$C$7:$C$11</c:f>
              <c:numCache>
                <c:formatCode>General</c:formatCode>
                <c:ptCount val="4"/>
                <c:pt idx="0">
                  <c:v>1430</c:v>
                </c:pt>
                <c:pt idx="1">
                  <c:v>1329</c:v>
                </c:pt>
                <c:pt idx="2">
                  <c:v>1529</c:v>
                </c:pt>
                <c:pt idx="3">
                  <c:v>1567</c:v>
                </c:pt>
              </c:numCache>
            </c:numRef>
          </c:val>
          <c:extLst>
            <c:ext xmlns:c16="http://schemas.microsoft.com/office/drawing/2014/chart" uri="{C3380CC4-5D6E-409C-BE32-E72D297353CC}">
              <c16:uniqueId val="{00000001-7529-4DC6-A116-8A5B0E2E39DA}"/>
            </c:ext>
          </c:extLst>
        </c:ser>
        <c:ser>
          <c:idx val="2"/>
          <c:order val="2"/>
          <c:tx>
            <c:strRef>
              <c:f>'Pass vs Fail Distribution'!$D$3:$D$6</c:f>
              <c:strCache>
                <c:ptCount val="1"/>
                <c:pt idx="0">
                  <c:v>Sum of Passed - Mar</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1-7F4A-473F-BB4F-7D765BD21899}"/>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3-7F4A-473F-BB4F-7D765BD21899}"/>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5-7F4A-473F-BB4F-7D765BD21899}"/>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7-7F4A-473F-BB4F-7D765BD21899}"/>
              </c:ext>
            </c:extLst>
          </c:dPt>
          <c:cat>
            <c:strRef>
              <c:f>'Pass vs Fail Distribution'!$A$7:$A$11</c:f>
              <c:strCache>
                <c:ptCount val="4"/>
                <c:pt idx="0">
                  <c:v>Capsule-C</c:v>
                </c:pt>
                <c:pt idx="1">
                  <c:v>Ointment-D</c:v>
                </c:pt>
                <c:pt idx="2">
                  <c:v>Syrup-B</c:v>
                </c:pt>
                <c:pt idx="3">
                  <c:v>Tablet-A</c:v>
                </c:pt>
              </c:strCache>
            </c:strRef>
          </c:cat>
          <c:val>
            <c:numRef>
              <c:f>'Pass vs Fail Distribution'!$D$7:$D$11</c:f>
              <c:numCache>
                <c:formatCode>General</c:formatCode>
                <c:ptCount val="4"/>
                <c:pt idx="0">
                  <c:v>1551</c:v>
                </c:pt>
                <c:pt idx="1">
                  <c:v>1608</c:v>
                </c:pt>
                <c:pt idx="2">
                  <c:v>1700</c:v>
                </c:pt>
                <c:pt idx="3">
                  <c:v>1698</c:v>
                </c:pt>
              </c:numCache>
            </c:numRef>
          </c:val>
          <c:extLst>
            <c:ext xmlns:c16="http://schemas.microsoft.com/office/drawing/2014/chart" uri="{C3380CC4-5D6E-409C-BE32-E72D297353CC}">
              <c16:uniqueId val="{00000060-E0C4-43EF-B42F-337931571E07}"/>
            </c:ext>
          </c:extLst>
        </c:ser>
        <c:ser>
          <c:idx val="3"/>
          <c:order val="3"/>
          <c:tx>
            <c:strRef>
              <c:f>'Pass vs Fail Distribution'!$E$3:$E$6</c:f>
              <c:strCache>
                <c:ptCount val="1"/>
                <c:pt idx="0">
                  <c:v>Sum of Passed - Apr</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9-7F4A-473F-BB4F-7D765BD21899}"/>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B-7F4A-473F-BB4F-7D765BD21899}"/>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D-7F4A-473F-BB4F-7D765BD21899}"/>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F-7F4A-473F-BB4F-7D765BD21899}"/>
              </c:ext>
            </c:extLst>
          </c:dPt>
          <c:cat>
            <c:strRef>
              <c:f>'Pass vs Fail Distribution'!$A$7:$A$11</c:f>
              <c:strCache>
                <c:ptCount val="4"/>
                <c:pt idx="0">
                  <c:v>Capsule-C</c:v>
                </c:pt>
                <c:pt idx="1">
                  <c:v>Ointment-D</c:v>
                </c:pt>
                <c:pt idx="2">
                  <c:v>Syrup-B</c:v>
                </c:pt>
                <c:pt idx="3">
                  <c:v>Tablet-A</c:v>
                </c:pt>
              </c:strCache>
            </c:strRef>
          </c:cat>
          <c:val>
            <c:numRef>
              <c:f>'Pass vs Fail Distribution'!$E$7:$E$11</c:f>
              <c:numCache>
                <c:formatCode>General</c:formatCode>
                <c:ptCount val="4"/>
                <c:pt idx="0">
                  <c:v>1675</c:v>
                </c:pt>
                <c:pt idx="1">
                  <c:v>1411</c:v>
                </c:pt>
                <c:pt idx="2">
                  <c:v>1518</c:v>
                </c:pt>
                <c:pt idx="3">
                  <c:v>1549</c:v>
                </c:pt>
              </c:numCache>
            </c:numRef>
          </c:val>
          <c:extLst>
            <c:ext xmlns:c16="http://schemas.microsoft.com/office/drawing/2014/chart" uri="{C3380CC4-5D6E-409C-BE32-E72D297353CC}">
              <c16:uniqueId val="{00000061-E0C4-43EF-B42F-337931571E07}"/>
            </c:ext>
          </c:extLst>
        </c:ser>
        <c:ser>
          <c:idx val="4"/>
          <c:order val="4"/>
          <c:tx>
            <c:strRef>
              <c:f>'Pass vs Fail Distribution'!$F$3:$F$6</c:f>
              <c:strCache>
                <c:ptCount val="1"/>
                <c:pt idx="0">
                  <c:v>Sum of Passed - May</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1-7F4A-473F-BB4F-7D765BD21899}"/>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3-7F4A-473F-BB4F-7D765BD21899}"/>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5-7F4A-473F-BB4F-7D765BD21899}"/>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7-7F4A-473F-BB4F-7D765BD21899}"/>
              </c:ext>
            </c:extLst>
          </c:dPt>
          <c:cat>
            <c:strRef>
              <c:f>'Pass vs Fail Distribution'!$A$7:$A$11</c:f>
              <c:strCache>
                <c:ptCount val="4"/>
                <c:pt idx="0">
                  <c:v>Capsule-C</c:v>
                </c:pt>
                <c:pt idx="1">
                  <c:v>Ointment-D</c:v>
                </c:pt>
                <c:pt idx="2">
                  <c:v>Syrup-B</c:v>
                </c:pt>
                <c:pt idx="3">
                  <c:v>Tablet-A</c:v>
                </c:pt>
              </c:strCache>
            </c:strRef>
          </c:cat>
          <c:val>
            <c:numRef>
              <c:f>'Pass vs Fail Distribution'!$F$7:$F$11</c:f>
              <c:numCache>
                <c:formatCode>General</c:formatCode>
                <c:ptCount val="4"/>
                <c:pt idx="0">
                  <c:v>1707</c:v>
                </c:pt>
                <c:pt idx="1">
                  <c:v>1502</c:v>
                </c:pt>
                <c:pt idx="2">
                  <c:v>1671</c:v>
                </c:pt>
                <c:pt idx="3">
                  <c:v>1606</c:v>
                </c:pt>
              </c:numCache>
            </c:numRef>
          </c:val>
          <c:extLst>
            <c:ext xmlns:c16="http://schemas.microsoft.com/office/drawing/2014/chart" uri="{C3380CC4-5D6E-409C-BE32-E72D297353CC}">
              <c16:uniqueId val="{00000062-E0C4-43EF-B42F-337931571E07}"/>
            </c:ext>
          </c:extLst>
        </c:ser>
        <c:ser>
          <c:idx val="5"/>
          <c:order val="5"/>
          <c:tx>
            <c:strRef>
              <c:f>'Pass vs Fail Distribution'!$G$3:$G$6</c:f>
              <c:strCache>
                <c:ptCount val="1"/>
                <c:pt idx="0">
                  <c:v>Sum of Passed - Jun</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9-7F4A-473F-BB4F-7D765BD21899}"/>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B-7F4A-473F-BB4F-7D765BD21899}"/>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D-7F4A-473F-BB4F-7D765BD21899}"/>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F-7F4A-473F-BB4F-7D765BD21899}"/>
              </c:ext>
            </c:extLst>
          </c:dPt>
          <c:cat>
            <c:strRef>
              <c:f>'Pass vs Fail Distribution'!$A$7:$A$11</c:f>
              <c:strCache>
                <c:ptCount val="4"/>
                <c:pt idx="0">
                  <c:v>Capsule-C</c:v>
                </c:pt>
                <c:pt idx="1">
                  <c:v>Ointment-D</c:v>
                </c:pt>
                <c:pt idx="2">
                  <c:v>Syrup-B</c:v>
                </c:pt>
                <c:pt idx="3">
                  <c:v>Tablet-A</c:v>
                </c:pt>
              </c:strCache>
            </c:strRef>
          </c:cat>
          <c:val>
            <c:numRef>
              <c:f>'Pass vs Fail Distribution'!$G$7:$G$11</c:f>
              <c:numCache>
                <c:formatCode>General</c:formatCode>
                <c:ptCount val="4"/>
                <c:pt idx="0">
                  <c:v>1605</c:v>
                </c:pt>
                <c:pt idx="1">
                  <c:v>1489</c:v>
                </c:pt>
                <c:pt idx="2">
                  <c:v>1550</c:v>
                </c:pt>
                <c:pt idx="3">
                  <c:v>1558</c:v>
                </c:pt>
              </c:numCache>
            </c:numRef>
          </c:val>
          <c:extLst>
            <c:ext xmlns:c16="http://schemas.microsoft.com/office/drawing/2014/chart" uri="{C3380CC4-5D6E-409C-BE32-E72D297353CC}">
              <c16:uniqueId val="{00000063-E0C4-43EF-B42F-337931571E07}"/>
            </c:ext>
          </c:extLst>
        </c:ser>
        <c:ser>
          <c:idx val="6"/>
          <c:order val="6"/>
          <c:tx>
            <c:strRef>
              <c:f>'Pass vs Fail Distribution'!$H$3:$H$6</c:f>
              <c:strCache>
                <c:ptCount val="1"/>
                <c:pt idx="0">
                  <c:v>Sum of Failed - Jan</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1-7F4A-473F-BB4F-7D765BD21899}"/>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3-7F4A-473F-BB4F-7D765BD21899}"/>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5-7F4A-473F-BB4F-7D765BD21899}"/>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7-7F4A-473F-BB4F-7D765BD21899}"/>
              </c:ext>
            </c:extLst>
          </c:dPt>
          <c:cat>
            <c:strRef>
              <c:f>'Pass vs Fail Distribution'!$A$7:$A$11</c:f>
              <c:strCache>
                <c:ptCount val="4"/>
                <c:pt idx="0">
                  <c:v>Capsule-C</c:v>
                </c:pt>
                <c:pt idx="1">
                  <c:v>Ointment-D</c:v>
                </c:pt>
                <c:pt idx="2">
                  <c:v>Syrup-B</c:v>
                </c:pt>
                <c:pt idx="3">
                  <c:v>Tablet-A</c:v>
                </c:pt>
              </c:strCache>
            </c:strRef>
          </c:cat>
          <c:val>
            <c:numRef>
              <c:f>'Pass vs Fail Distribution'!$H$7:$H$11</c:f>
              <c:numCache>
                <c:formatCode>General</c:formatCode>
                <c:ptCount val="4"/>
                <c:pt idx="0">
                  <c:v>304</c:v>
                </c:pt>
                <c:pt idx="1">
                  <c:v>374</c:v>
                </c:pt>
                <c:pt idx="2">
                  <c:v>325</c:v>
                </c:pt>
                <c:pt idx="3">
                  <c:v>260</c:v>
                </c:pt>
              </c:numCache>
            </c:numRef>
          </c:val>
          <c:extLst>
            <c:ext xmlns:c16="http://schemas.microsoft.com/office/drawing/2014/chart" uri="{C3380CC4-5D6E-409C-BE32-E72D297353CC}">
              <c16:uniqueId val="{00000064-E0C4-43EF-B42F-337931571E07}"/>
            </c:ext>
          </c:extLst>
        </c:ser>
        <c:ser>
          <c:idx val="7"/>
          <c:order val="7"/>
          <c:tx>
            <c:strRef>
              <c:f>'Pass vs Fail Distribution'!$I$3:$I$6</c:f>
              <c:strCache>
                <c:ptCount val="1"/>
                <c:pt idx="0">
                  <c:v>Sum of Failed - Feb</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9-7F4A-473F-BB4F-7D765BD21899}"/>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B-7F4A-473F-BB4F-7D765BD21899}"/>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D-7F4A-473F-BB4F-7D765BD21899}"/>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F-7F4A-473F-BB4F-7D765BD21899}"/>
              </c:ext>
            </c:extLst>
          </c:dPt>
          <c:cat>
            <c:strRef>
              <c:f>'Pass vs Fail Distribution'!$A$7:$A$11</c:f>
              <c:strCache>
                <c:ptCount val="4"/>
                <c:pt idx="0">
                  <c:v>Capsule-C</c:v>
                </c:pt>
                <c:pt idx="1">
                  <c:v>Ointment-D</c:v>
                </c:pt>
                <c:pt idx="2">
                  <c:v>Syrup-B</c:v>
                </c:pt>
                <c:pt idx="3">
                  <c:v>Tablet-A</c:v>
                </c:pt>
              </c:strCache>
            </c:strRef>
          </c:cat>
          <c:val>
            <c:numRef>
              <c:f>'Pass vs Fail Distribution'!$I$7:$I$11</c:f>
              <c:numCache>
                <c:formatCode>General</c:formatCode>
                <c:ptCount val="4"/>
                <c:pt idx="0">
                  <c:v>238</c:v>
                </c:pt>
                <c:pt idx="1">
                  <c:v>320</c:v>
                </c:pt>
                <c:pt idx="2">
                  <c:v>265</c:v>
                </c:pt>
                <c:pt idx="3">
                  <c:v>251</c:v>
                </c:pt>
              </c:numCache>
            </c:numRef>
          </c:val>
          <c:extLst>
            <c:ext xmlns:c16="http://schemas.microsoft.com/office/drawing/2014/chart" uri="{C3380CC4-5D6E-409C-BE32-E72D297353CC}">
              <c16:uniqueId val="{00000065-E0C4-43EF-B42F-337931571E07}"/>
            </c:ext>
          </c:extLst>
        </c:ser>
        <c:ser>
          <c:idx val="8"/>
          <c:order val="8"/>
          <c:tx>
            <c:strRef>
              <c:f>'Pass vs Fail Distribution'!$J$3:$J$6</c:f>
              <c:strCache>
                <c:ptCount val="1"/>
                <c:pt idx="0">
                  <c:v>Sum of Failed - Mar</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1-7F4A-473F-BB4F-7D765BD21899}"/>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3-7F4A-473F-BB4F-7D765BD21899}"/>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5-7F4A-473F-BB4F-7D765BD21899}"/>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7-7F4A-473F-BB4F-7D765BD21899}"/>
              </c:ext>
            </c:extLst>
          </c:dPt>
          <c:cat>
            <c:strRef>
              <c:f>'Pass vs Fail Distribution'!$A$7:$A$11</c:f>
              <c:strCache>
                <c:ptCount val="4"/>
                <c:pt idx="0">
                  <c:v>Capsule-C</c:v>
                </c:pt>
                <c:pt idx="1">
                  <c:v>Ointment-D</c:v>
                </c:pt>
                <c:pt idx="2">
                  <c:v>Syrup-B</c:v>
                </c:pt>
                <c:pt idx="3">
                  <c:v>Tablet-A</c:v>
                </c:pt>
              </c:strCache>
            </c:strRef>
          </c:cat>
          <c:val>
            <c:numRef>
              <c:f>'Pass vs Fail Distribution'!$J$7:$J$11</c:f>
              <c:numCache>
                <c:formatCode>General</c:formatCode>
                <c:ptCount val="4"/>
                <c:pt idx="0">
                  <c:v>331</c:v>
                </c:pt>
                <c:pt idx="1">
                  <c:v>311</c:v>
                </c:pt>
                <c:pt idx="2">
                  <c:v>256</c:v>
                </c:pt>
                <c:pt idx="3">
                  <c:v>298</c:v>
                </c:pt>
              </c:numCache>
            </c:numRef>
          </c:val>
          <c:extLst>
            <c:ext xmlns:c16="http://schemas.microsoft.com/office/drawing/2014/chart" uri="{C3380CC4-5D6E-409C-BE32-E72D297353CC}">
              <c16:uniqueId val="{00000066-E0C4-43EF-B42F-337931571E07}"/>
            </c:ext>
          </c:extLst>
        </c:ser>
        <c:ser>
          <c:idx val="9"/>
          <c:order val="9"/>
          <c:tx>
            <c:strRef>
              <c:f>'Pass vs Fail Distribution'!$K$3:$K$6</c:f>
              <c:strCache>
                <c:ptCount val="1"/>
                <c:pt idx="0">
                  <c:v>Sum of Failed - Apr</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9-7F4A-473F-BB4F-7D765BD21899}"/>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B-7F4A-473F-BB4F-7D765BD21899}"/>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D-7F4A-473F-BB4F-7D765BD21899}"/>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F-7F4A-473F-BB4F-7D765BD21899}"/>
              </c:ext>
            </c:extLst>
          </c:dPt>
          <c:cat>
            <c:strRef>
              <c:f>'Pass vs Fail Distribution'!$A$7:$A$11</c:f>
              <c:strCache>
                <c:ptCount val="4"/>
                <c:pt idx="0">
                  <c:v>Capsule-C</c:v>
                </c:pt>
                <c:pt idx="1">
                  <c:v>Ointment-D</c:v>
                </c:pt>
                <c:pt idx="2">
                  <c:v>Syrup-B</c:v>
                </c:pt>
                <c:pt idx="3">
                  <c:v>Tablet-A</c:v>
                </c:pt>
              </c:strCache>
            </c:strRef>
          </c:cat>
          <c:val>
            <c:numRef>
              <c:f>'Pass vs Fail Distribution'!$K$7:$K$11</c:f>
              <c:numCache>
                <c:formatCode>General</c:formatCode>
                <c:ptCount val="4"/>
                <c:pt idx="0">
                  <c:v>326</c:v>
                </c:pt>
                <c:pt idx="1">
                  <c:v>307</c:v>
                </c:pt>
                <c:pt idx="2">
                  <c:v>239</c:v>
                </c:pt>
                <c:pt idx="3">
                  <c:v>298</c:v>
                </c:pt>
              </c:numCache>
            </c:numRef>
          </c:val>
          <c:extLst>
            <c:ext xmlns:c16="http://schemas.microsoft.com/office/drawing/2014/chart" uri="{C3380CC4-5D6E-409C-BE32-E72D297353CC}">
              <c16:uniqueId val="{00000067-E0C4-43EF-B42F-337931571E07}"/>
            </c:ext>
          </c:extLst>
        </c:ser>
        <c:ser>
          <c:idx val="10"/>
          <c:order val="10"/>
          <c:tx>
            <c:strRef>
              <c:f>'Pass vs Fail Distribution'!$L$3:$L$6</c:f>
              <c:strCache>
                <c:ptCount val="1"/>
                <c:pt idx="0">
                  <c:v>Sum of Failed - May</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1-7F4A-473F-BB4F-7D765BD21899}"/>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3-7F4A-473F-BB4F-7D765BD21899}"/>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5-7F4A-473F-BB4F-7D765BD21899}"/>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7-7F4A-473F-BB4F-7D765BD21899}"/>
              </c:ext>
            </c:extLst>
          </c:dPt>
          <c:cat>
            <c:strRef>
              <c:f>'Pass vs Fail Distribution'!$A$7:$A$11</c:f>
              <c:strCache>
                <c:ptCount val="4"/>
                <c:pt idx="0">
                  <c:v>Capsule-C</c:v>
                </c:pt>
                <c:pt idx="1">
                  <c:v>Ointment-D</c:v>
                </c:pt>
                <c:pt idx="2">
                  <c:v>Syrup-B</c:v>
                </c:pt>
                <c:pt idx="3">
                  <c:v>Tablet-A</c:v>
                </c:pt>
              </c:strCache>
            </c:strRef>
          </c:cat>
          <c:val>
            <c:numRef>
              <c:f>'Pass vs Fail Distribution'!$L$7:$L$11</c:f>
              <c:numCache>
                <c:formatCode>General</c:formatCode>
                <c:ptCount val="4"/>
                <c:pt idx="0">
                  <c:v>301</c:v>
                </c:pt>
                <c:pt idx="1">
                  <c:v>332</c:v>
                </c:pt>
                <c:pt idx="2">
                  <c:v>267</c:v>
                </c:pt>
                <c:pt idx="3">
                  <c:v>412</c:v>
                </c:pt>
              </c:numCache>
            </c:numRef>
          </c:val>
          <c:extLst>
            <c:ext xmlns:c16="http://schemas.microsoft.com/office/drawing/2014/chart" uri="{C3380CC4-5D6E-409C-BE32-E72D297353CC}">
              <c16:uniqueId val="{00000068-E0C4-43EF-B42F-337931571E07}"/>
            </c:ext>
          </c:extLst>
        </c:ser>
        <c:ser>
          <c:idx val="11"/>
          <c:order val="11"/>
          <c:tx>
            <c:strRef>
              <c:f>'Pass vs Fail Distribution'!$M$3:$M$6</c:f>
              <c:strCache>
                <c:ptCount val="1"/>
                <c:pt idx="0">
                  <c:v>Sum of Failed - Jun</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9-7F4A-473F-BB4F-7D765BD21899}"/>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B-7F4A-473F-BB4F-7D765BD21899}"/>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D-7F4A-473F-BB4F-7D765BD21899}"/>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F-7F4A-473F-BB4F-7D765BD21899}"/>
              </c:ext>
            </c:extLst>
          </c:dPt>
          <c:cat>
            <c:strRef>
              <c:f>'Pass vs Fail Distribution'!$A$7:$A$11</c:f>
              <c:strCache>
                <c:ptCount val="4"/>
                <c:pt idx="0">
                  <c:v>Capsule-C</c:v>
                </c:pt>
                <c:pt idx="1">
                  <c:v>Ointment-D</c:v>
                </c:pt>
                <c:pt idx="2">
                  <c:v>Syrup-B</c:v>
                </c:pt>
                <c:pt idx="3">
                  <c:v>Tablet-A</c:v>
                </c:pt>
              </c:strCache>
            </c:strRef>
          </c:cat>
          <c:val>
            <c:numRef>
              <c:f>'Pass vs Fail Distribution'!$M$7:$M$11</c:f>
              <c:numCache>
                <c:formatCode>General</c:formatCode>
                <c:ptCount val="4"/>
                <c:pt idx="0">
                  <c:v>282</c:v>
                </c:pt>
                <c:pt idx="1">
                  <c:v>245</c:v>
                </c:pt>
                <c:pt idx="2">
                  <c:v>279</c:v>
                </c:pt>
                <c:pt idx="3">
                  <c:v>260</c:v>
                </c:pt>
              </c:numCache>
            </c:numRef>
          </c:val>
          <c:extLst>
            <c:ext xmlns:c16="http://schemas.microsoft.com/office/drawing/2014/chart" uri="{C3380CC4-5D6E-409C-BE32-E72D297353CC}">
              <c16:uniqueId val="{00000069-E0C4-43EF-B42F-337931571E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[Pharma_QC_Test_Results (Recovered).xlsx]Failures by Product (Monthly)!PivotTable2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'Failures by Product (Monthly)'!$B$3:$B$5</c:f>
              <c:strCache>
                <c:ptCount val="1"/>
                <c:pt idx="0">
                  <c:v>Jan</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(Monthly)'!$B$6:$B$10</c:f>
              <c:numCache>
                <c:formatCode>General</c:formatCode>
                <c:ptCount val="4"/>
                <c:pt idx="0">
                  <c:v>304</c:v>
                </c:pt>
                <c:pt idx="1">
                  <c:v>374</c:v>
                </c:pt>
                <c:pt idx="2">
                  <c:v>325</c:v>
                </c:pt>
                <c:pt idx="3">
                  <c:v>260</c:v>
                </c:pt>
              </c:numCache>
            </c:numRef>
          </c:val>
          <c:extLst>
            <c:ext xmlns:c16="http://schemas.microsoft.com/office/drawing/2014/chart" uri="{C3380CC4-5D6E-409C-BE32-E72D297353CC}">
              <c16:uniqueId val="{00000000-A881-45B5-9FFD-97213CF9E096}"/>
            </c:ext>
          </c:extLst>
        </c:ser>
        <c:ser>
          <c:idx val="1"/>
          <c:order val="1"/>
          <c:tx>
            <c:strRef>
              <c:f>'Failures by Product (Monthly)'!$C$3:$C$5</c:f>
              <c:strCache>
                <c:ptCount val="1"/>
                <c:pt idx="0">
                  <c:v>Feb</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(Monthly)'!$C$6:$C$10</c:f>
              <c:numCache>
                <c:formatCode>General</c:formatCode>
                <c:ptCount val="4"/>
                <c:pt idx="0">
                  <c:v>238</c:v>
                </c:pt>
                <c:pt idx="1">
                  <c:v>320</c:v>
                </c:pt>
                <c:pt idx="2">
                  <c:v>265</c:v>
                </c:pt>
                <c:pt idx="3">
                  <c:v>251</c:v>
                </c:pt>
              </c:numCache>
            </c:numRef>
          </c:val>
          <c:extLst>
            <c:ext xmlns:c16="http://schemas.microsoft.com/office/drawing/2014/chart" uri="{C3380CC4-5D6E-409C-BE32-E72D297353CC}">
              <c16:uniqueId val="{00000000-A614-4E10-A5BA-7DFD94FDAEAF}"/>
            </c:ext>
          </c:extLst>
        </c:ser>
        <c:ser>
          <c:idx val="2"/>
          <c:order val="2"/>
          <c:tx>
            <c:strRef>
              <c:f>'Failures by Product (Monthly)'!$D$3:$D$5</c:f>
              <c:strCache>
                <c:ptCount val="1"/>
                <c:pt idx="0">
                  <c:v>Mar</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(Monthly)'!$D$6:$D$10</c:f>
              <c:numCache>
                <c:formatCode>General</c:formatCode>
                <c:ptCount val="4"/>
                <c:pt idx="0">
                  <c:v>331</c:v>
                </c:pt>
                <c:pt idx="1">
                  <c:v>311</c:v>
                </c:pt>
                <c:pt idx="2">
                  <c:v>256</c:v>
                </c:pt>
                <c:pt idx="3">
                  <c:v>298</c:v>
                </c:pt>
              </c:numCache>
            </c:numRef>
          </c:val>
          <c:extLst>
            <c:ext xmlns:c16="http://schemas.microsoft.com/office/drawing/2014/chart" uri="{C3380CC4-5D6E-409C-BE32-E72D297353CC}">
              <c16:uniqueId val="{00000001-A614-4E10-A5BA-7DFD94FDAEAF}"/>
            </c:ext>
          </c:extLst>
        </c:ser>
        <c:ser>
          <c:idx val="3"/>
          <c:order val="3"/>
          <c:tx>
            <c:strRef>
              <c:f>'Failures by Product (Monthly)'!$E$3:$E$5</c:f>
              <c:strCache>
                <c:ptCount val="1"/>
                <c:pt idx="0">
                  <c:v>Apr</c:v>
                </c:pt>
              </c:strCache>
            </c:strRef>
          </c:tx>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(Monthly)'!$E$6:$E$10</c:f>
              <c:numCache>
                <c:formatCode>General</c:formatCode>
                <c:ptCount val="4"/>
                <c:pt idx="0">
                  <c:v>326</c:v>
                </c:pt>
                <c:pt idx="1">
                  <c:v>307</c:v>
                </c:pt>
                <c:pt idx="2">
                  <c:v>239</c:v>
                </c:pt>
                <c:pt idx="3">
                  <c:v>298</c:v>
                </c:pt>
              </c:numCache>
            </c:numRef>
          </c:val>
          <c:extLst>
            <c:ext xmlns:c16="http://schemas.microsoft.com/office/drawing/2014/chart" uri="{C3380CC4-5D6E-409C-BE32-E72D297353CC}">
              <c16:uniqueId val="{00000002-A614-4E10-A5BA-7DFD94FDAEAF}"/>
            </c:ext>
          </c:extLst>
        </c:ser>
        <c:ser>
          <c:idx val="4"/>
          <c:order val="4"/>
          <c:tx>
            <c:strRef>
              <c:f>'Failures by Product (Monthly)'!$F$3:$F$5</c:f>
              <c:strCache>
                <c:ptCount val="1"/>
                <c:pt idx="0">
                  <c:v>May</c:v>
                </c:pt>
              </c:strCache>
            </c:strRef>
          </c:tx>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(Monthly)'!$F$6:$F$10</c:f>
              <c:numCache>
                <c:formatCode>General</c:formatCode>
                <c:ptCount val="4"/>
                <c:pt idx="0">
                  <c:v>301</c:v>
                </c:pt>
                <c:pt idx="1">
                  <c:v>332</c:v>
                </c:pt>
                <c:pt idx="2">
                  <c:v>267</c:v>
                </c:pt>
                <c:pt idx="3">
                  <c:v>412</c:v>
                </c:pt>
              </c:numCache>
            </c:numRef>
          </c:val>
          <c:extLst>
            <c:ext xmlns:c16="http://schemas.microsoft.com/office/drawing/2014/chart" uri="{C3380CC4-5D6E-409C-BE32-E72D297353CC}">
              <c16:uniqueId val="{00000003-A614-4E10-A5BA-7DFD94FDAEAF}"/>
            </c:ext>
          </c:extLst>
        </c:ser>
        <c:ser>
          <c:idx val="5"/>
          <c:order val="5"/>
          <c:tx>
            <c:strRef>
              <c:f>'Failures by Product (Monthly)'!$G$3:$G$5</c:f>
              <c:strCache>
                <c:ptCount val="1"/>
                <c:pt idx="0">
                  <c:v>Jun</c:v>
                </c:pt>
              </c:strCache>
            </c:strRef>
          </c:tx>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(Monthly)'!$G$6:$G$10</c:f>
              <c:numCache>
                <c:formatCode>General</c:formatCode>
                <c:ptCount val="4"/>
                <c:pt idx="0">
                  <c:v>282</c:v>
                </c:pt>
                <c:pt idx="1">
                  <c:v>245</c:v>
                </c:pt>
                <c:pt idx="2">
                  <c:v>279</c:v>
                </c:pt>
                <c:pt idx="3">
                  <c:v>260</c:v>
                </c:pt>
              </c:numCache>
            </c:numRef>
          </c:val>
          <c:extLst>
            <c:ext xmlns:c16="http://schemas.microsoft.com/office/drawing/2014/chart" uri="{C3380CC4-5D6E-409C-BE32-E72D297353CC}">
              <c16:uniqueId val="{00000004-A614-4E10-A5BA-7DFD94FDAEAF}"/>
            </c:ext>
          </c:extLst>
        </c:ser>
        <c:dLbls>
          <c:showLegendKey val="0"/>
          <c:showVal val="0"/>
          <c:showCatName val="0"/>
          <c:showSerName val="0"/>
          <c:showPercent val="0"/>
          <c:showBubbleSize val="0"/>
        </c:dLbls>
        <c:gapWidth val="115"/>
        <c:overlap val="-20"/>
        <c:axId val="1609299727"/>
        <c:axId val="1609298287"/>
      </c:barChart>
      <c:catAx>
        <c:axId val="16092997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9298287"/>
        <c:crosses val="autoZero"/>
        <c:auto val="1"/>
        <c:lblAlgn val="ctr"/>
        <c:lblOffset val="100"/>
        <c:noMultiLvlLbl val="0"/>
      </c:catAx>
      <c:valAx>
        <c:axId val="16092982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929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[Pharma_QC_Test_Results (Recovered).xlsx]Pass Rate Trend!PivotTable3</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'Pass Rate Trend'!$B$3:$B$5</c:f>
              <c:strCache>
                <c:ptCount val="1"/>
                <c:pt idx="0">
                  <c:v>Jan</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Trend'!$B$6:$B$10</c:f>
              <c:numCache>
                <c:formatCode>0%</c:formatCode>
                <c:ptCount val="4"/>
                <c:pt idx="0">
                  <c:v>0.85283108321070134</c:v>
                </c:pt>
                <c:pt idx="1">
                  <c:v>0.80726030435040186</c:v>
                </c:pt>
                <c:pt idx="2">
                  <c:v>0.8321325502535234</c:v>
                </c:pt>
                <c:pt idx="3">
                  <c:v>0.84573452030288643</c:v>
                </c:pt>
              </c:numCache>
            </c:numRef>
          </c:val>
          <c:smooth val="0"/>
          <c:extLst>
            <c:ext xmlns:c16="http://schemas.microsoft.com/office/drawing/2014/chart" uri="{C3380CC4-5D6E-409C-BE32-E72D297353CC}">
              <c16:uniqueId val="{00000000-6DDD-4B80-9C14-D5A238B5C14C}"/>
            </c:ext>
          </c:extLst>
        </c:ser>
        <c:ser>
          <c:idx val="1"/>
          <c:order val="1"/>
          <c:tx>
            <c:strRef>
              <c:f>'Pass Rate Trend'!$C$3:$C$5</c:f>
              <c:strCache>
                <c:ptCount val="1"/>
                <c:pt idx="0">
                  <c:v>Feb</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Trend'!$C$6:$C$10</c:f>
              <c:numCache>
                <c:formatCode>0%</c:formatCode>
                <c:ptCount val="4"/>
                <c:pt idx="0">
                  <c:v>0.8575248692089501</c:v>
                </c:pt>
                <c:pt idx="1">
                  <c:v>0.80835741643442727</c:v>
                </c:pt>
                <c:pt idx="2">
                  <c:v>0.8634083267987599</c:v>
                </c:pt>
                <c:pt idx="3">
                  <c:v>0.85572983898151134</c:v>
                </c:pt>
              </c:numCache>
            </c:numRef>
          </c:val>
          <c:smooth val="0"/>
          <c:extLst>
            <c:ext xmlns:c16="http://schemas.microsoft.com/office/drawing/2014/chart" uri="{C3380CC4-5D6E-409C-BE32-E72D297353CC}">
              <c16:uniqueId val="{00000000-D352-4137-B989-4F1BDDAF736C}"/>
            </c:ext>
          </c:extLst>
        </c:ser>
        <c:ser>
          <c:idx val="2"/>
          <c:order val="2"/>
          <c:tx>
            <c:strRef>
              <c:f>'Pass Rate Trend'!$D$3:$D$5</c:f>
              <c:strCache>
                <c:ptCount val="1"/>
                <c:pt idx="0">
                  <c:v>Mar</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Trend'!$D$6:$D$10</c:f>
              <c:numCache>
                <c:formatCode>0%</c:formatCode>
                <c:ptCount val="4"/>
                <c:pt idx="0">
                  <c:v>0.82344946936019492</c:v>
                </c:pt>
                <c:pt idx="1">
                  <c:v>0.83206476399411189</c:v>
                </c:pt>
                <c:pt idx="2">
                  <c:v>0.86252290902952211</c:v>
                </c:pt>
                <c:pt idx="3">
                  <c:v>0.84771723697190193</c:v>
                </c:pt>
              </c:numCache>
            </c:numRef>
          </c:val>
          <c:smooth val="0"/>
          <c:extLst>
            <c:ext xmlns:c16="http://schemas.microsoft.com/office/drawing/2014/chart" uri="{C3380CC4-5D6E-409C-BE32-E72D297353CC}">
              <c16:uniqueId val="{00000001-D352-4137-B989-4F1BDDAF736C}"/>
            </c:ext>
          </c:extLst>
        </c:ser>
        <c:ser>
          <c:idx val="3"/>
          <c:order val="3"/>
          <c:tx>
            <c:strRef>
              <c:f>'Pass Rate Trend'!$E$3:$E$5</c:f>
              <c:strCache>
                <c:ptCount val="1"/>
                <c:pt idx="0">
                  <c:v>Apr</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Trend'!$E$6:$E$10</c:f>
              <c:numCache>
                <c:formatCode>0%</c:formatCode>
                <c:ptCount val="4"/>
                <c:pt idx="0">
                  <c:v>0.84431105790076988</c:v>
                </c:pt>
                <c:pt idx="1">
                  <c:v>0.83119161750266624</c:v>
                </c:pt>
                <c:pt idx="2">
                  <c:v>0.86682189009152877</c:v>
                </c:pt>
                <c:pt idx="3">
                  <c:v>0.82150056230107382</c:v>
                </c:pt>
              </c:numCache>
            </c:numRef>
          </c:val>
          <c:smooth val="0"/>
          <c:extLst>
            <c:ext xmlns:c16="http://schemas.microsoft.com/office/drawing/2014/chart" uri="{C3380CC4-5D6E-409C-BE32-E72D297353CC}">
              <c16:uniqueId val="{00000002-D352-4137-B989-4F1BDDAF736C}"/>
            </c:ext>
          </c:extLst>
        </c:ser>
        <c:ser>
          <c:idx val="4"/>
          <c:order val="4"/>
          <c:tx>
            <c:strRef>
              <c:f>'Pass Rate Trend'!$F$3:$F$5</c:f>
              <c:strCache>
                <c:ptCount val="1"/>
                <c:pt idx="0">
                  <c:v>May</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Trend'!$F$6:$F$10</c:f>
              <c:numCache>
                <c:formatCode>0%</c:formatCode>
                <c:ptCount val="4"/>
                <c:pt idx="0">
                  <c:v>0.84975336154071168</c:v>
                </c:pt>
                <c:pt idx="1">
                  <c:v>0.82293221368364866</c:v>
                </c:pt>
                <c:pt idx="2">
                  <c:v>0.86315233607303044</c:v>
                </c:pt>
                <c:pt idx="3">
                  <c:v>0.80599002016313337</c:v>
                </c:pt>
              </c:numCache>
            </c:numRef>
          </c:val>
          <c:smooth val="0"/>
          <c:extLst>
            <c:ext xmlns:c16="http://schemas.microsoft.com/office/drawing/2014/chart" uri="{C3380CC4-5D6E-409C-BE32-E72D297353CC}">
              <c16:uniqueId val="{00000003-D352-4137-B989-4F1BDDAF736C}"/>
            </c:ext>
          </c:extLst>
        </c:ser>
        <c:ser>
          <c:idx val="5"/>
          <c:order val="5"/>
          <c:tx>
            <c:strRef>
              <c:f>'Pass Rate Trend'!$G$3:$G$5</c:f>
              <c:strCache>
                <c:ptCount val="1"/>
                <c:pt idx="0">
                  <c:v>Jun</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Trend'!$G$6:$G$10</c:f>
              <c:numCache>
                <c:formatCode>0%</c:formatCode>
                <c:ptCount val="4"/>
                <c:pt idx="0">
                  <c:v>0.85105828311456944</c:v>
                </c:pt>
                <c:pt idx="1">
                  <c:v>0.85659611354796894</c:v>
                </c:pt>
                <c:pt idx="2">
                  <c:v>0.84835515912434223</c:v>
                </c:pt>
                <c:pt idx="3">
                  <c:v>0.84961171123711288</c:v>
                </c:pt>
              </c:numCache>
            </c:numRef>
          </c:val>
          <c:smooth val="0"/>
          <c:extLst>
            <c:ext xmlns:c16="http://schemas.microsoft.com/office/drawing/2014/chart" uri="{C3380CC4-5D6E-409C-BE32-E72D297353CC}">
              <c16:uniqueId val="{00000004-D352-4137-B989-4F1BDDAF736C}"/>
            </c:ext>
          </c:extLst>
        </c:ser>
        <c:dLbls>
          <c:showLegendKey val="0"/>
          <c:showVal val="0"/>
          <c:showCatName val="0"/>
          <c:showSerName val="0"/>
          <c:showPercent val="0"/>
          <c:showBubbleSize val="0"/>
        </c:dLbls>
        <c:marker val="1"/>
        <c:smooth val="0"/>
        <c:axId val="1819488319"/>
        <c:axId val="1819488799"/>
      </c:lineChart>
      <c:catAx>
        <c:axId val="18194883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9488799"/>
        <c:crosses val="autoZero"/>
        <c:auto val="1"/>
        <c:lblAlgn val="ctr"/>
        <c:lblOffset val="100"/>
        <c:noMultiLvlLbl val="0"/>
      </c:catAx>
      <c:valAx>
        <c:axId val="18194887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948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[Pharma_QC_Test_Results (Recovered).xlsx]Pass Rate Trend!PivotTable3</c:name>
    <c:fmtId val="3"/>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'Pass Rate Trend'!$B$3:$B$5</c:f>
              <c:strCache>
                <c:ptCount val="1"/>
                <c:pt idx="0">
                  <c:v>Jan</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Trend'!$B$6:$B$10</c:f>
              <c:numCache>
                <c:formatCode>0%</c:formatCode>
                <c:ptCount val="4"/>
                <c:pt idx="0">
                  <c:v>0.85283108321070134</c:v>
                </c:pt>
                <c:pt idx="1">
                  <c:v>0.80726030435040186</c:v>
                </c:pt>
                <c:pt idx="2">
                  <c:v>0.8321325502535234</c:v>
                </c:pt>
                <c:pt idx="3">
                  <c:v>0.84573452030288643</c:v>
                </c:pt>
              </c:numCache>
            </c:numRef>
          </c:val>
          <c:smooth val="0"/>
          <c:extLst>
            <c:ext xmlns:c16="http://schemas.microsoft.com/office/drawing/2014/chart" uri="{C3380CC4-5D6E-409C-BE32-E72D297353CC}">
              <c16:uniqueId val="{00000000-0CE2-42BA-BBCC-7275B0710EAE}"/>
            </c:ext>
          </c:extLst>
        </c:ser>
        <c:ser>
          <c:idx val="1"/>
          <c:order val="1"/>
          <c:tx>
            <c:strRef>
              <c:f>'Pass Rate Trend'!$C$3:$C$5</c:f>
              <c:strCache>
                <c:ptCount val="1"/>
                <c:pt idx="0">
                  <c:v>Feb</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Trend'!$C$6:$C$10</c:f>
              <c:numCache>
                <c:formatCode>0%</c:formatCode>
                <c:ptCount val="4"/>
                <c:pt idx="0">
                  <c:v>0.8575248692089501</c:v>
                </c:pt>
                <c:pt idx="1">
                  <c:v>0.80835741643442727</c:v>
                </c:pt>
                <c:pt idx="2">
                  <c:v>0.8634083267987599</c:v>
                </c:pt>
                <c:pt idx="3">
                  <c:v>0.85572983898151134</c:v>
                </c:pt>
              </c:numCache>
            </c:numRef>
          </c:val>
          <c:smooth val="0"/>
          <c:extLst>
            <c:ext xmlns:c16="http://schemas.microsoft.com/office/drawing/2014/chart" uri="{C3380CC4-5D6E-409C-BE32-E72D297353CC}">
              <c16:uniqueId val="{00000001-A63D-4CA4-BB9A-62479C80B3CC}"/>
            </c:ext>
          </c:extLst>
        </c:ser>
        <c:ser>
          <c:idx val="2"/>
          <c:order val="2"/>
          <c:tx>
            <c:strRef>
              <c:f>'Pass Rate Trend'!$D$3:$D$5</c:f>
              <c:strCache>
                <c:ptCount val="1"/>
                <c:pt idx="0">
                  <c:v>Mar</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Trend'!$D$6:$D$10</c:f>
              <c:numCache>
                <c:formatCode>0%</c:formatCode>
                <c:ptCount val="4"/>
                <c:pt idx="0">
                  <c:v>0.82344946936019492</c:v>
                </c:pt>
                <c:pt idx="1">
                  <c:v>0.83206476399411189</c:v>
                </c:pt>
                <c:pt idx="2">
                  <c:v>0.86252290902952211</c:v>
                </c:pt>
                <c:pt idx="3">
                  <c:v>0.84771723697190193</c:v>
                </c:pt>
              </c:numCache>
            </c:numRef>
          </c:val>
          <c:smooth val="0"/>
          <c:extLst>
            <c:ext xmlns:c16="http://schemas.microsoft.com/office/drawing/2014/chart" uri="{C3380CC4-5D6E-409C-BE32-E72D297353CC}">
              <c16:uniqueId val="{00000002-A63D-4CA4-BB9A-62479C80B3CC}"/>
            </c:ext>
          </c:extLst>
        </c:ser>
        <c:ser>
          <c:idx val="3"/>
          <c:order val="3"/>
          <c:tx>
            <c:strRef>
              <c:f>'Pass Rate Trend'!$E$3:$E$5</c:f>
              <c:strCache>
                <c:ptCount val="1"/>
                <c:pt idx="0">
                  <c:v>Apr</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Trend'!$E$6:$E$10</c:f>
              <c:numCache>
                <c:formatCode>0%</c:formatCode>
                <c:ptCount val="4"/>
                <c:pt idx="0">
                  <c:v>0.84431105790076988</c:v>
                </c:pt>
                <c:pt idx="1">
                  <c:v>0.83119161750266624</c:v>
                </c:pt>
                <c:pt idx="2">
                  <c:v>0.86682189009152877</c:v>
                </c:pt>
                <c:pt idx="3">
                  <c:v>0.82150056230107382</c:v>
                </c:pt>
              </c:numCache>
            </c:numRef>
          </c:val>
          <c:smooth val="0"/>
          <c:extLst>
            <c:ext xmlns:c16="http://schemas.microsoft.com/office/drawing/2014/chart" uri="{C3380CC4-5D6E-409C-BE32-E72D297353CC}">
              <c16:uniqueId val="{00000003-A63D-4CA4-BB9A-62479C80B3CC}"/>
            </c:ext>
          </c:extLst>
        </c:ser>
        <c:ser>
          <c:idx val="4"/>
          <c:order val="4"/>
          <c:tx>
            <c:strRef>
              <c:f>'Pass Rate Trend'!$F$3:$F$5</c:f>
              <c:strCache>
                <c:ptCount val="1"/>
                <c:pt idx="0">
                  <c:v>May</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Trend'!$F$6:$F$10</c:f>
              <c:numCache>
                <c:formatCode>0%</c:formatCode>
                <c:ptCount val="4"/>
                <c:pt idx="0">
                  <c:v>0.84975336154071168</c:v>
                </c:pt>
                <c:pt idx="1">
                  <c:v>0.82293221368364866</c:v>
                </c:pt>
                <c:pt idx="2">
                  <c:v>0.86315233607303044</c:v>
                </c:pt>
                <c:pt idx="3">
                  <c:v>0.80599002016313337</c:v>
                </c:pt>
              </c:numCache>
            </c:numRef>
          </c:val>
          <c:smooth val="0"/>
          <c:extLst>
            <c:ext xmlns:c16="http://schemas.microsoft.com/office/drawing/2014/chart" uri="{C3380CC4-5D6E-409C-BE32-E72D297353CC}">
              <c16:uniqueId val="{00000004-A63D-4CA4-BB9A-62479C80B3CC}"/>
            </c:ext>
          </c:extLst>
        </c:ser>
        <c:ser>
          <c:idx val="5"/>
          <c:order val="5"/>
          <c:tx>
            <c:strRef>
              <c:f>'Pass Rate Trend'!$G$3:$G$5</c:f>
              <c:strCache>
                <c:ptCount val="1"/>
                <c:pt idx="0">
                  <c:v>Jun</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'Pass Rate Trend'!$A$6:$A$10</c:f>
              <c:strCache>
                <c:ptCount val="4"/>
                <c:pt idx="0">
                  <c:v>Capsule-C</c:v>
                </c:pt>
                <c:pt idx="1">
                  <c:v>Ointment-D</c:v>
                </c:pt>
                <c:pt idx="2">
                  <c:v>Syrup-B</c:v>
                </c:pt>
                <c:pt idx="3">
                  <c:v>Tablet-A</c:v>
                </c:pt>
              </c:strCache>
            </c:strRef>
          </c:cat>
          <c:val>
            <c:numRef>
              <c:f>'Pass Rate Trend'!$G$6:$G$10</c:f>
              <c:numCache>
                <c:formatCode>0%</c:formatCode>
                <c:ptCount val="4"/>
                <c:pt idx="0">
                  <c:v>0.85105828311456944</c:v>
                </c:pt>
                <c:pt idx="1">
                  <c:v>0.85659611354796894</c:v>
                </c:pt>
                <c:pt idx="2">
                  <c:v>0.84835515912434223</c:v>
                </c:pt>
                <c:pt idx="3">
                  <c:v>0.84961171123711288</c:v>
                </c:pt>
              </c:numCache>
            </c:numRef>
          </c:val>
          <c:smooth val="0"/>
          <c:extLst>
            <c:ext xmlns:c16="http://schemas.microsoft.com/office/drawing/2014/chart" uri="{C3380CC4-5D6E-409C-BE32-E72D297353CC}">
              <c16:uniqueId val="{00000005-A63D-4CA4-BB9A-62479C80B3CC}"/>
            </c:ext>
          </c:extLst>
        </c:ser>
        <c:dLbls>
          <c:showLegendKey val="0"/>
          <c:showVal val="0"/>
          <c:showCatName val="0"/>
          <c:showSerName val="0"/>
          <c:showPercent val="0"/>
          <c:showBubbleSize val="0"/>
        </c:dLbls>
        <c:marker val="1"/>
        <c:smooth val="0"/>
        <c:axId val="1819488319"/>
        <c:axId val="1819488799"/>
      </c:lineChart>
      <c:catAx>
        <c:axId val="18194883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819488799"/>
        <c:crosses val="autoZero"/>
        <c:auto val="1"/>
        <c:lblAlgn val="ctr"/>
        <c:lblOffset val="100"/>
        <c:noMultiLvlLbl val="0"/>
      </c:catAx>
      <c:valAx>
        <c:axId val="18194887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81948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65000"/>
            <a:lumMod val="110000"/>
          </a:schemeClr>
        </a:gs>
        <a:gs pos="88000">
          <a:schemeClr val="accent1">
            <a:tint val="90000"/>
          </a:schemeClr>
        </a:gs>
      </a:gsLst>
      <a:lin ang="5400000" scaled="0"/>
    </a:gradFill>
    <a:ln w="12700" cap="rnd" cmpd="sng" algn="ctr">
      <a:solidFill>
        <a:schemeClr val="accent2">
          <a:lumMod val="50000"/>
        </a:schemeClr>
      </a:solidFill>
      <a:prstDash val="solid"/>
      <a:round/>
    </a:ln>
    <a:effectLst>
      <a:outerShdw blurRad="50800" dist="38100" dir="18900000" algn="bl" rotWithShape="0">
        <a:prstClr val="black">
          <a:alpha val="40000"/>
        </a:prstClr>
      </a:outerShdw>
    </a:effectLst>
    <a:scene3d>
      <a:camera prst="orthographicFront"/>
      <a:lightRig rig="threePt" dir="t"/>
    </a:scene3d>
    <a:sp3d>
      <a:bevelT w="139700" h="1397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[Pharma_QC_Test_Results (Recovered).xlsx]Failures by Product (Monthly)!PivotTable2</c:name>
    <c:fmtId val="3"/>
  </c:pivotSource>
  <c:chart>
    <c:autoTitleDeleted val="1"/>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54169812677525"/>
          <c:y val="9.7047212604737629E-2"/>
          <c:w val="0.38646024341135438"/>
          <c:h val="0.79748170022009379"/>
        </c:manualLayout>
      </c:layout>
      <c:barChart>
        <c:barDir val="bar"/>
        <c:grouping val="clustered"/>
        <c:varyColors val="0"/>
        <c:ser>
          <c:idx val="0"/>
          <c:order val="0"/>
          <c:tx>
            <c:strRef>
              <c:f>'Failures by Product (Monthly)'!$B$3:$B$5</c:f>
              <c:strCache>
                <c:ptCount val="1"/>
                <c:pt idx="0">
                  <c:v>Jan</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(Monthly)'!$B$6:$B$10</c:f>
              <c:numCache>
                <c:formatCode>General</c:formatCode>
                <c:ptCount val="4"/>
                <c:pt idx="0">
                  <c:v>304</c:v>
                </c:pt>
                <c:pt idx="1">
                  <c:v>374</c:v>
                </c:pt>
                <c:pt idx="2">
                  <c:v>325</c:v>
                </c:pt>
                <c:pt idx="3">
                  <c:v>260</c:v>
                </c:pt>
              </c:numCache>
            </c:numRef>
          </c:val>
          <c:extLst>
            <c:ext xmlns:c16="http://schemas.microsoft.com/office/drawing/2014/chart" uri="{C3380CC4-5D6E-409C-BE32-E72D297353CC}">
              <c16:uniqueId val="{00000000-97B4-4FAC-BBC6-98181C7F9E5B}"/>
            </c:ext>
          </c:extLst>
        </c:ser>
        <c:ser>
          <c:idx val="1"/>
          <c:order val="1"/>
          <c:tx>
            <c:strRef>
              <c:f>'Failures by Product (Monthly)'!$C$3:$C$5</c:f>
              <c:strCache>
                <c:ptCount val="1"/>
                <c:pt idx="0">
                  <c:v>Feb</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(Monthly)'!$C$6:$C$10</c:f>
              <c:numCache>
                <c:formatCode>General</c:formatCode>
                <c:ptCount val="4"/>
                <c:pt idx="0">
                  <c:v>238</c:v>
                </c:pt>
                <c:pt idx="1">
                  <c:v>320</c:v>
                </c:pt>
                <c:pt idx="2">
                  <c:v>265</c:v>
                </c:pt>
                <c:pt idx="3">
                  <c:v>251</c:v>
                </c:pt>
              </c:numCache>
            </c:numRef>
          </c:val>
          <c:extLst>
            <c:ext xmlns:c16="http://schemas.microsoft.com/office/drawing/2014/chart" uri="{C3380CC4-5D6E-409C-BE32-E72D297353CC}">
              <c16:uniqueId val="{00000001-3EF5-4041-A284-9B5BF1B92C59}"/>
            </c:ext>
          </c:extLst>
        </c:ser>
        <c:ser>
          <c:idx val="2"/>
          <c:order val="2"/>
          <c:tx>
            <c:strRef>
              <c:f>'Failures by Product (Monthly)'!$D$3:$D$5</c:f>
              <c:strCache>
                <c:ptCount val="1"/>
                <c:pt idx="0">
                  <c:v>Mar</c:v>
                </c:pt>
              </c:strCache>
            </c:strRef>
          </c:tx>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(Monthly)'!$D$6:$D$10</c:f>
              <c:numCache>
                <c:formatCode>General</c:formatCode>
                <c:ptCount val="4"/>
                <c:pt idx="0">
                  <c:v>331</c:v>
                </c:pt>
                <c:pt idx="1">
                  <c:v>311</c:v>
                </c:pt>
                <c:pt idx="2">
                  <c:v>256</c:v>
                </c:pt>
                <c:pt idx="3">
                  <c:v>298</c:v>
                </c:pt>
              </c:numCache>
            </c:numRef>
          </c:val>
          <c:extLst>
            <c:ext xmlns:c16="http://schemas.microsoft.com/office/drawing/2014/chart" uri="{C3380CC4-5D6E-409C-BE32-E72D297353CC}">
              <c16:uniqueId val="{00000002-3EF5-4041-A284-9B5BF1B92C59}"/>
            </c:ext>
          </c:extLst>
        </c:ser>
        <c:ser>
          <c:idx val="3"/>
          <c:order val="3"/>
          <c:tx>
            <c:strRef>
              <c:f>'Failures by Product (Monthly)'!$E$3:$E$5</c:f>
              <c:strCache>
                <c:ptCount val="1"/>
                <c:pt idx="0">
                  <c:v>Apr</c:v>
                </c:pt>
              </c:strCache>
            </c:strRef>
          </c:tx>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(Monthly)'!$E$6:$E$10</c:f>
              <c:numCache>
                <c:formatCode>General</c:formatCode>
                <c:ptCount val="4"/>
                <c:pt idx="0">
                  <c:v>326</c:v>
                </c:pt>
                <c:pt idx="1">
                  <c:v>307</c:v>
                </c:pt>
                <c:pt idx="2">
                  <c:v>239</c:v>
                </c:pt>
                <c:pt idx="3">
                  <c:v>298</c:v>
                </c:pt>
              </c:numCache>
            </c:numRef>
          </c:val>
          <c:extLst>
            <c:ext xmlns:c16="http://schemas.microsoft.com/office/drawing/2014/chart" uri="{C3380CC4-5D6E-409C-BE32-E72D297353CC}">
              <c16:uniqueId val="{00000003-3EF5-4041-A284-9B5BF1B92C59}"/>
            </c:ext>
          </c:extLst>
        </c:ser>
        <c:ser>
          <c:idx val="4"/>
          <c:order val="4"/>
          <c:tx>
            <c:strRef>
              <c:f>'Failures by Product (Monthly)'!$F$3:$F$5</c:f>
              <c:strCache>
                <c:ptCount val="1"/>
                <c:pt idx="0">
                  <c:v>May</c:v>
                </c:pt>
              </c:strCache>
            </c:strRef>
          </c:tx>
          <c:spPr>
            <a:gradFill rotWithShape="1">
              <a:gsLst>
                <a:gs pos="0">
                  <a:schemeClr val="accent3">
                    <a:lumMod val="60000"/>
                    <a:tint val="96000"/>
                    <a:lumMod val="100000"/>
                  </a:schemeClr>
                </a:gs>
                <a:gs pos="78000">
                  <a:schemeClr val="accent3">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(Monthly)'!$F$6:$F$10</c:f>
              <c:numCache>
                <c:formatCode>General</c:formatCode>
                <c:ptCount val="4"/>
                <c:pt idx="0">
                  <c:v>301</c:v>
                </c:pt>
                <c:pt idx="1">
                  <c:v>332</c:v>
                </c:pt>
                <c:pt idx="2">
                  <c:v>267</c:v>
                </c:pt>
                <c:pt idx="3">
                  <c:v>412</c:v>
                </c:pt>
              </c:numCache>
            </c:numRef>
          </c:val>
          <c:extLst>
            <c:ext xmlns:c16="http://schemas.microsoft.com/office/drawing/2014/chart" uri="{C3380CC4-5D6E-409C-BE32-E72D297353CC}">
              <c16:uniqueId val="{00000004-3EF5-4041-A284-9B5BF1B92C59}"/>
            </c:ext>
          </c:extLst>
        </c:ser>
        <c:ser>
          <c:idx val="5"/>
          <c:order val="5"/>
          <c:tx>
            <c:strRef>
              <c:f>'Failures by Product (Monthly)'!$G$3:$G$5</c:f>
              <c:strCache>
                <c:ptCount val="1"/>
                <c:pt idx="0">
                  <c:v>Jun</c:v>
                </c:pt>
              </c:strCache>
            </c:strRef>
          </c:tx>
          <c:spPr>
            <a:gradFill rotWithShape="1">
              <a:gsLst>
                <a:gs pos="0">
                  <a:schemeClr val="accent5">
                    <a:lumMod val="60000"/>
                    <a:tint val="96000"/>
                    <a:lumMod val="100000"/>
                  </a:schemeClr>
                </a:gs>
                <a:gs pos="78000">
                  <a:schemeClr val="accent5">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'Failures by Product (Monthly)'!$A$6:$A$10</c:f>
              <c:strCache>
                <c:ptCount val="4"/>
                <c:pt idx="0">
                  <c:v>Capsule-C</c:v>
                </c:pt>
                <c:pt idx="1">
                  <c:v>Ointment-D</c:v>
                </c:pt>
                <c:pt idx="2">
                  <c:v>Syrup-B</c:v>
                </c:pt>
                <c:pt idx="3">
                  <c:v>Tablet-A</c:v>
                </c:pt>
              </c:strCache>
            </c:strRef>
          </c:cat>
          <c:val>
            <c:numRef>
              <c:f>'Failures by Product (Monthly)'!$G$6:$G$10</c:f>
              <c:numCache>
                <c:formatCode>General</c:formatCode>
                <c:ptCount val="4"/>
                <c:pt idx="0">
                  <c:v>282</c:v>
                </c:pt>
                <c:pt idx="1">
                  <c:v>245</c:v>
                </c:pt>
                <c:pt idx="2">
                  <c:v>279</c:v>
                </c:pt>
                <c:pt idx="3">
                  <c:v>260</c:v>
                </c:pt>
              </c:numCache>
            </c:numRef>
          </c:val>
          <c:extLst>
            <c:ext xmlns:c16="http://schemas.microsoft.com/office/drawing/2014/chart" uri="{C3380CC4-5D6E-409C-BE32-E72D297353CC}">
              <c16:uniqueId val="{00000005-3EF5-4041-A284-9B5BF1B92C59}"/>
            </c:ext>
          </c:extLst>
        </c:ser>
        <c:dLbls>
          <c:showLegendKey val="0"/>
          <c:showVal val="0"/>
          <c:showCatName val="0"/>
          <c:showSerName val="0"/>
          <c:showPercent val="0"/>
          <c:showBubbleSize val="0"/>
        </c:dLbls>
        <c:gapWidth val="115"/>
        <c:overlap val="-20"/>
        <c:axId val="1609299727"/>
        <c:axId val="1609298287"/>
      </c:barChart>
      <c:catAx>
        <c:axId val="16092997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609298287"/>
        <c:crosses val="autoZero"/>
        <c:auto val="1"/>
        <c:lblAlgn val="ctr"/>
        <c:lblOffset val="100"/>
        <c:noMultiLvlLbl val="0"/>
      </c:catAx>
      <c:valAx>
        <c:axId val="16092982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609299727"/>
        <c:crosses val="autoZero"/>
        <c:crossBetween val="between"/>
      </c:valAx>
      <c:spPr>
        <a:noFill/>
        <a:ln>
          <a:noFill/>
        </a:ln>
        <a:effectLst/>
      </c:spPr>
    </c:plotArea>
    <c:legend>
      <c:legendPos val="r"/>
      <c:layout>
        <c:manualLayout>
          <c:xMode val="edge"/>
          <c:yMode val="edge"/>
          <c:x val="0.77097602739726023"/>
          <c:y val="0.1202973564839416"/>
          <c:w val="0.21310588912810943"/>
          <c:h val="0.5031121512288898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5000"/>
            <a:lumMod val="110000"/>
          </a:schemeClr>
        </a:gs>
        <a:gs pos="88000">
          <a:schemeClr val="accent1">
            <a:tint val="90000"/>
          </a:schemeClr>
        </a:gs>
      </a:gsLst>
      <a:lin ang="5400000" scaled="0"/>
      <a:tileRect/>
    </a:gradFill>
    <a:ln w="12700" cap="rnd" cmpd="sng" algn="ctr">
      <a:solidFill>
        <a:schemeClr val="accent2">
          <a:lumMod val="50000"/>
        </a:schemeClr>
      </a:solidFill>
      <a:prstDash val="solid"/>
    </a:ln>
    <a:effectLst>
      <a:outerShdw blurRad="50800" dist="38100" dir="18900000" algn="bl" rotWithShape="0">
        <a:prstClr val="black">
          <a:alpha val="40000"/>
        </a:prstClr>
      </a:outerShdw>
    </a:effectLst>
    <a:scene3d>
      <a:camera prst="orthographicFront"/>
      <a:lightRig rig="threePt" dir="t"/>
    </a:scene3d>
    <a:sp3d>
      <a:bevelT w="139700" h="1397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[Pharma_QC_Test_Results (Recovered).xlsx]Pass vs Fail Distribution!PivotTable1</c:name>
    <c:fmtId val="6"/>
  </c:pivotSource>
  <c:chart>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6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6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6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6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6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6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6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6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2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2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2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2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2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2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2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2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plotArea>
      <c:layout>
        <c:manualLayout>
          <c:layoutTarget val="inner"/>
          <c:xMode val="edge"/>
          <c:yMode val="edge"/>
          <c:x val="0.2225215996259961"/>
          <c:y val="0.11069334351809836"/>
          <c:w val="0.50195792655577742"/>
          <c:h val="0.73671844818195342"/>
        </c:manualLayout>
      </c:layout>
      <c:doughnutChart>
        <c:varyColors val="1"/>
        <c:ser>
          <c:idx val="0"/>
          <c:order val="0"/>
          <c:tx>
            <c:strRef>
              <c:f>'Pass vs Fail Distribution'!$B$3:$B$6</c:f>
              <c:strCache>
                <c:ptCount val="1"/>
                <c:pt idx="0">
                  <c:v>Sum of Passed - Jan</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742C-4FBE-91DD-0BD993FB933B}"/>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742C-4FBE-91DD-0BD993FB933B}"/>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742C-4FBE-91DD-0BD993FB933B}"/>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742C-4FBE-91DD-0BD993FB933B}"/>
              </c:ext>
            </c:extLst>
          </c:dPt>
          <c:cat>
            <c:strRef>
              <c:f>'Pass vs Fail Distribution'!$A$7:$A$11</c:f>
              <c:strCache>
                <c:ptCount val="4"/>
                <c:pt idx="0">
                  <c:v>Capsule-C</c:v>
                </c:pt>
                <c:pt idx="1">
                  <c:v>Ointment-D</c:v>
                </c:pt>
                <c:pt idx="2">
                  <c:v>Syrup-B</c:v>
                </c:pt>
                <c:pt idx="3">
                  <c:v>Tablet-A</c:v>
                </c:pt>
              </c:strCache>
            </c:strRef>
          </c:cat>
          <c:val>
            <c:numRef>
              <c:f>'Pass vs Fail Distribution'!$B$7:$B$11</c:f>
              <c:numCache>
                <c:formatCode>General</c:formatCode>
                <c:ptCount val="4"/>
                <c:pt idx="0">
                  <c:v>1718</c:v>
                </c:pt>
                <c:pt idx="1">
                  <c:v>1547</c:v>
                </c:pt>
                <c:pt idx="2">
                  <c:v>1479</c:v>
                </c:pt>
                <c:pt idx="3">
                  <c:v>1450</c:v>
                </c:pt>
              </c:numCache>
            </c:numRef>
          </c:val>
          <c:extLst>
            <c:ext xmlns:c16="http://schemas.microsoft.com/office/drawing/2014/chart" uri="{C3380CC4-5D6E-409C-BE32-E72D297353CC}">
              <c16:uniqueId val="{00000008-742C-4FBE-91DD-0BD993FB933B}"/>
            </c:ext>
          </c:extLst>
        </c:ser>
        <c:ser>
          <c:idx val="1"/>
          <c:order val="1"/>
          <c:tx>
            <c:strRef>
              <c:f>'Pass vs Fail Distribution'!$C$3:$C$6</c:f>
              <c:strCache>
                <c:ptCount val="1"/>
                <c:pt idx="0">
                  <c:v>Sum of Passed - Feb</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A-742C-4FBE-91DD-0BD993FB933B}"/>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C-742C-4FBE-91DD-0BD993FB933B}"/>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E-742C-4FBE-91DD-0BD993FB933B}"/>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0-742C-4FBE-91DD-0BD993FB933B}"/>
              </c:ext>
            </c:extLst>
          </c:dPt>
          <c:cat>
            <c:strRef>
              <c:f>'Pass vs Fail Distribution'!$A$7:$A$11</c:f>
              <c:strCache>
                <c:ptCount val="4"/>
                <c:pt idx="0">
                  <c:v>Capsule-C</c:v>
                </c:pt>
                <c:pt idx="1">
                  <c:v>Ointment-D</c:v>
                </c:pt>
                <c:pt idx="2">
                  <c:v>Syrup-B</c:v>
                </c:pt>
                <c:pt idx="3">
                  <c:v>Tablet-A</c:v>
                </c:pt>
              </c:strCache>
            </c:strRef>
          </c:cat>
          <c:val>
            <c:numRef>
              <c:f>'Pass vs Fail Distribution'!$C$7:$C$11</c:f>
              <c:numCache>
                <c:formatCode>General</c:formatCode>
                <c:ptCount val="4"/>
                <c:pt idx="0">
                  <c:v>1430</c:v>
                </c:pt>
                <c:pt idx="1">
                  <c:v>1329</c:v>
                </c:pt>
                <c:pt idx="2">
                  <c:v>1529</c:v>
                </c:pt>
                <c:pt idx="3">
                  <c:v>1567</c:v>
                </c:pt>
              </c:numCache>
            </c:numRef>
          </c:val>
          <c:extLst>
            <c:ext xmlns:c16="http://schemas.microsoft.com/office/drawing/2014/chart" uri="{C3380CC4-5D6E-409C-BE32-E72D297353CC}">
              <c16:uniqueId val="{00000011-742C-4FBE-91DD-0BD993FB933B}"/>
            </c:ext>
          </c:extLst>
        </c:ser>
        <c:ser>
          <c:idx val="2"/>
          <c:order val="2"/>
          <c:tx>
            <c:strRef>
              <c:f>'Pass vs Fail Distribution'!$D$3:$D$6</c:f>
              <c:strCache>
                <c:ptCount val="1"/>
                <c:pt idx="0">
                  <c:v>Sum of Passed - Mar</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1-7447-4904-9652-F435549F67DC}"/>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3-7447-4904-9652-F435549F67DC}"/>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5-7447-4904-9652-F435549F67DC}"/>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7-7447-4904-9652-F435549F67DC}"/>
              </c:ext>
            </c:extLst>
          </c:dPt>
          <c:cat>
            <c:strRef>
              <c:f>'Pass vs Fail Distribution'!$A$7:$A$11</c:f>
              <c:strCache>
                <c:ptCount val="4"/>
                <c:pt idx="0">
                  <c:v>Capsule-C</c:v>
                </c:pt>
                <c:pt idx="1">
                  <c:v>Ointment-D</c:v>
                </c:pt>
                <c:pt idx="2">
                  <c:v>Syrup-B</c:v>
                </c:pt>
                <c:pt idx="3">
                  <c:v>Tablet-A</c:v>
                </c:pt>
              </c:strCache>
            </c:strRef>
          </c:cat>
          <c:val>
            <c:numRef>
              <c:f>'Pass vs Fail Distribution'!$D$7:$D$11</c:f>
              <c:numCache>
                <c:formatCode>General</c:formatCode>
                <c:ptCount val="4"/>
                <c:pt idx="0">
                  <c:v>1551</c:v>
                </c:pt>
                <c:pt idx="1">
                  <c:v>1608</c:v>
                </c:pt>
                <c:pt idx="2">
                  <c:v>1700</c:v>
                </c:pt>
                <c:pt idx="3">
                  <c:v>1698</c:v>
                </c:pt>
              </c:numCache>
            </c:numRef>
          </c:val>
          <c:extLst>
            <c:ext xmlns:c16="http://schemas.microsoft.com/office/drawing/2014/chart" uri="{C3380CC4-5D6E-409C-BE32-E72D297353CC}">
              <c16:uniqueId val="{00000061-8C89-4282-9F72-EC9E544876C4}"/>
            </c:ext>
          </c:extLst>
        </c:ser>
        <c:ser>
          <c:idx val="3"/>
          <c:order val="3"/>
          <c:tx>
            <c:strRef>
              <c:f>'Pass vs Fail Distribution'!$E$3:$E$6</c:f>
              <c:strCache>
                <c:ptCount val="1"/>
                <c:pt idx="0">
                  <c:v>Sum of Passed - Apr</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9-7447-4904-9652-F435549F67DC}"/>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B-7447-4904-9652-F435549F67DC}"/>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D-7447-4904-9652-F435549F67DC}"/>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F-7447-4904-9652-F435549F67DC}"/>
              </c:ext>
            </c:extLst>
          </c:dPt>
          <c:cat>
            <c:strRef>
              <c:f>'Pass vs Fail Distribution'!$A$7:$A$11</c:f>
              <c:strCache>
                <c:ptCount val="4"/>
                <c:pt idx="0">
                  <c:v>Capsule-C</c:v>
                </c:pt>
                <c:pt idx="1">
                  <c:v>Ointment-D</c:v>
                </c:pt>
                <c:pt idx="2">
                  <c:v>Syrup-B</c:v>
                </c:pt>
                <c:pt idx="3">
                  <c:v>Tablet-A</c:v>
                </c:pt>
              </c:strCache>
            </c:strRef>
          </c:cat>
          <c:val>
            <c:numRef>
              <c:f>'Pass vs Fail Distribution'!$E$7:$E$11</c:f>
              <c:numCache>
                <c:formatCode>General</c:formatCode>
                <c:ptCount val="4"/>
                <c:pt idx="0">
                  <c:v>1675</c:v>
                </c:pt>
                <c:pt idx="1">
                  <c:v>1411</c:v>
                </c:pt>
                <c:pt idx="2">
                  <c:v>1518</c:v>
                </c:pt>
                <c:pt idx="3">
                  <c:v>1549</c:v>
                </c:pt>
              </c:numCache>
            </c:numRef>
          </c:val>
          <c:extLst>
            <c:ext xmlns:c16="http://schemas.microsoft.com/office/drawing/2014/chart" uri="{C3380CC4-5D6E-409C-BE32-E72D297353CC}">
              <c16:uniqueId val="{00000062-8C89-4282-9F72-EC9E544876C4}"/>
            </c:ext>
          </c:extLst>
        </c:ser>
        <c:ser>
          <c:idx val="4"/>
          <c:order val="4"/>
          <c:tx>
            <c:strRef>
              <c:f>'Pass vs Fail Distribution'!$F$3:$F$6</c:f>
              <c:strCache>
                <c:ptCount val="1"/>
                <c:pt idx="0">
                  <c:v>Sum of Passed - May</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1-7447-4904-9652-F435549F67DC}"/>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3-7447-4904-9652-F435549F67DC}"/>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5-7447-4904-9652-F435549F67DC}"/>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7-7447-4904-9652-F435549F67DC}"/>
              </c:ext>
            </c:extLst>
          </c:dPt>
          <c:cat>
            <c:strRef>
              <c:f>'Pass vs Fail Distribution'!$A$7:$A$11</c:f>
              <c:strCache>
                <c:ptCount val="4"/>
                <c:pt idx="0">
                  <c:v>Capsule-C</c:v>
                </c:pt>
                <c:pt idx="1">
                  <c:v>Ointment-D</c:v>
                </c:pt>
                <c:pt idx="2">
                  <c:v>Syrup-B</c:v>
                </c:pt>
                <c:pt idx="3">
                  <c:v>Tablet-A</c:v>
                </c:pt>
              </c:strCache>
            </c:strRef>
          </c:cat>
          <c:val>
            <c:numRef>
              <c:f>'Pass vs Fail Distribution'!$F$7:$F$11</c:f>
              <c:numCache>
                <c:formatCode>General</c:formatCode>
                <c:ptCount val="4"/>
                <c:pt idx="0">
                  <c:v>1707</c:v>
                </c:pt>
                <c:pt idx="1">
                  <c:v>1502</c:v>
                </c:pt>
                <c:pt idx="2">
                  <c:v>1671</c:v>
                </c:pt>
                <c:pt idx="3">
                  <c:v>1606</c:v>
                </c:pt>
              </c:numCache>
            </c:numRef>
          </c:val>
          <c:extLst>
            <c:ext xmlns:c16="http://schemas.microsoft.com/office/drawing/2014/chart" uri="{C3380CC4-5D6E-409C-BE32-E72D297353CC}">
              <c16:uniqueId val="{00000063-8C89-4282-9F72-EC9E544876C4}"/>
            </c:ext>
          </c:extLst>
        </c:ser>
        <c:ser>
          <c:idx val="5"/>
          <c:order val="5"/>
          <c:tx>
            <c:strRef>
              <c:f>'Pass vs Fail Distribution'!$G$3:$G$6</c:f>
              <c:strCache>
                <c:ptCount val="1"/>
                <c:pt idx="0">
                  <c:v>Sum of Passed - Jun</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9-7447-4904-9652-F435549F67DC}"/>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B-7447-4904-9652-F435549F67DC}"/>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D-7447-4904-9652-F435549F67DC}"/>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2F-7447-4904-9652-F435549F67DC}"/>
              </c:ext>
            </c:extLst>
          </c:dPt>
          <c:cat>
            <c:strRef>
              <c:f>'Pass vs Fail Distribution'!$A$7:$A$11</c:f>
              <c:strCache>
                <c:ptCount val="4"/>
                <c:pt idx="0">
                  <c:v>Capsule-C</c:v>
                </c:pt>
                <c:pt idx="1">
                  <c:v>Ointment-D</c:v>
                </c:pt>
                <c:pt idx="2">
                  <c:v>Syrup-B</c:v>
                </c:pt>
                <c:pt idx="3">
                  <c:v>Tablet-A</c:v>
                </c:pt>
              </c:strCache>
            </c:strRef>
          </c:cat>
          <c:val>
            <c:numRef>
              <c:f>'Pass vs Fail Distribution'!$G$7:$G$11</c:f>
              <c:numCache>
                <c:formatCode>General</c:formatCode>
                <c:ptCount val="4"/>
                <c:pt idx="0">
                  <c:v>1605</c:v>
                </c:pt>
                <c:pt idx="1">
                  <c:v>1489</c:v>
                </c:pt>
                <c:pt idx="2">
                  <c:v>1550</c:v>
                </c:pt>
                <c:pt idx="3">
                  <c:v>1558</c:v>
                </c:pt>
              </c:numCache>
            </c:numRef>
          </c:val>
          <c:extLst>
            <c:ext xmlns:c16="http://schemas.microsoft.com/office/drawing/2014/chart" uri="{C3380CC4-5D6E-409C-BE32-E72D297353CC}">
              <c16:uniqueId val="{00000064-8C89-4282-9F72-EC9E544876C4}"/>
            </c:ext>
          </c:extLst>
        </c:ser>
        <c:ser>
          <c:idx val="6"/>
          <c:order val="6"/>
          <c:tx>
            <c:strRef>
              <c:f>'Pass vs Fail Distribution'!$H$3:$H$6</c:f>
              <c:strCache>
                <c:ptCount val="1"/>
                <c:pt idx="0">
                  <c:v>Sum of Failed - Jan</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1-7447-4904-9652-F435549F67DC}"/>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3-7447-4904-9652-F435549F67DC}"/>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5-7447-4904-9652-F435549F67DC}"/>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7-7447-4904-9652-F435549F67DC}"/>
              </c:ext>
            </c:extLst>
          </c:dPt>
          <c:cat>
            <c:strRef>
              <c:f>'Pass vs Fail Distribution'!$A$7:$A$11</c:f>
              <c:strCache>
                <c:ptCount val="4"/>
                <c:pt idx="0">
                  <c:v>Capsule-C</c:v>
                </c:pt>
                <c:pt idx="1">
                  <c:v>Ointment-D</c:v>
                </c:pt>
                <c:pt idx="2">
                  <c:v>Syrup-B</c:v>
                </c:pt>
                <c:pt idx="3">
                  <c:v>Tablet-A</c:v>
                </c:pt>
              </c:strCache>
            </c:strRef>
          </c:cat>
          <c:val>
            <c:numRef>
              <c:f>'Pass vs Fail Distribution'!$H$7:$H$11</c:f>
              <c:numCache>
                <c:formatCode>General</c:formatCode>
                <c:ptCount val="4"/>
                <c:pt idx="0">
                  <c:v>304</c:v>
                </c:pt>
                <c:pt idx="1">
                  <c:v>374</c:v>
                </c:pt>
                <c:pt idx="2">
                  <c:v>325</c:v>
                </c:pt>
                <c:pt idx="3">
                  <c:v>260</c:v>
                </c:pt>
              </c:numCache>
            </c:numRef>
          </c:val>
          <c:extLst>
            <c:ext xmlns:c16="http://schemas.microsoft.com/office/drawing/2014/chart" uri="{C3380CC4-5D6E-409C-BE32-E72D297353CC}">
              <c16:uniqueId val="{00000065-8C89-4282-9F72-EC9E544876C4}"/>
            </c:ext>
          </c:extLst>
        </c:ser>
        <c:ser>
          <c:idx val="7"/>
          <c:order val="7"/>
          <c:tx>
            <c:strRef>
              <c:f>'Pass vs Fail Distribution'!$I$3:$I$6</c:f>
              <c:strCache>
                <c:ptCount val="1"/>
                <c:pt idx="0">
                  <c:v>Sum of Failed - Feb</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9-7447-4904-9652-F435549F67DC}"/>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B-7447-4904-9652-F435549F67DC}"/>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D-7447-4904-9652-F435549F67DC}"/>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3F-7447-4904-9652-F435549F67DC}"/>
              </c:ext>
            </c:extLst>
          </c:dPt>
          <c:cat>
            <c:strRef>
              <c:f>'Pass vs Fail Distribution'!$A$7:$A$11</c:f>
              <c:strCache>
                <c:ptCount val="4"/>
                <c:pt idx="0">
                  <c:v>Capsule-C</c:v>
                </c:pt>
                <c:pt idx="1">
                  <c:v>Ointment-D</c:v>
                </c:pt>
                <c:pt idx="2">
                  <c:v>Syrup-B</c:v>
                </c:pt>
                <c:pt idx="3">
                  <c:v>Tablet-A</c:v>
                </c:pt>
              </c:strCache>
            </c:strRef>
          </c:cat>
          <c:val>
            <c:numRef>
              <c:f>'Pass vs Fail Distribution'!$I$7:$I$11</c:f>
              <c:numCache>
                <c:formatCode>General</c:formatCode>
                <c:ptCount val="4"/>
                <c:pt idx="0">
                  <c:v>238</c:v>
                </c:pt>
                <c:pt idx="1">
                  <c:v>320</c:v>
                </c:pt>
                <c:pt idx="2">
                  <c:v>265</c:v>
                </c:pt>
                <c:pt idx="3">
                  <c:v>251</c:v>
                </c:pt>
              </c:numCache>
            </c:numRef>
          </c:val>
          <c:extLst>
            <c:ext xmlns:c16="http://schemas.microsoft.com/office/drawing/2014/chart" uri="{C3380CC4-5D6E-409C-BE32-E72D297353CC}">
              <c16:uniqueId val="{00000066-8C89-4282-9F72-EC9E544876C4}"/>
            </c:ext>
          </c:extLst>
        </c:ser>
        <c:ser>
          <c:idx val="8"/>
          <c:order val="8"/>
          <c:tx>
            <c:strRef>
              <c:f>'Pass vs Fail Distribution'!$J$3:$J$6</c:f>
              <c:strCache>
                <c:ptCount val="1"/>
                <c:pt idx="0">
                  <c:v>Sum of Failed - Mar</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1-7447-4904-9652-F435549F67DC}"/>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3-7447-4904-9652-F435549F67DC}"/>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5-7447-4904-9652-F435549F67DC}"/>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7-7447-4904-9652-F435549F67DC}"/>
              </c:ext>
            </c:extLst>
          </c:dPt>
          <c:cat>
            <c:strRef>
              <c:f>'Pass vs Fail Distribution'!$A$7:$A$11</c:f>
              <c:strCache>
                <c:ptCount val="4"/>
                <c:pt idx="0">
                  <c:v>Capsule-C</c:v>
                </c:pt>
                <c:pt idx="1">
                  <c:v>Ointment-D</c:v>
                </c:pt>
                <c:pt idx="2">
                  <c:v>Syrup-B</c:v>
                </c:pt>
                <c:pt idx="3">
                  <c:v>Tablet-A</c:v>
                </c:pt>
              </c:strCache>
            </c:strRef>
          </c:cat>
          <c:val>
            <c:numRef>
              <c:f>'Pass vs Fail Distribution'!$J$7:$J$11</c:f>
              <c:numCache>
                <c:formatCode>General</c:formatCode>
                <c:ptCount val="4"/>
                <c:pt idx="0">
                  <c:v>331</c:v>
                </c:pt>
                <c:pt idx="1">
                  <c:v>311</c:v>
                </c:pt>
                <c:pt idx="2">
                  <c:v>256</c:v>
                </c:pt>
                <c:pt idx="3">
                  <c:v>298</c:v>
                </c:pt>
              </c:numCache>
            </c:numRef>
          </c:val>
          <c:extLst>
            <c:ext xmlns:c16="http://schemas.microsoft.com/office/drawing/2014/chart" uri="{C3380CC4-5D6E-409C-BE32-E72D297353CC}">
              <c16:uniqueId val="{00000067-8C89-4282-9F72-EC9E544876C4}"/>
            </c:ext>
          </c:extLst>
        </c:ser>
        <c:ser>
          <c:idx val="9"/>
          <c:order val="9"/>
          <c:tx>
            <c:strRef>
              <c:f>'Pass vs Fail Distribution'!$K$3:$K$6</c:f>
              <c:strCache>
                <c:ptCount val="1"/>
                <c:pt idx="0">
                  <c:v>Sum of Failed - Apr</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9-7447-4904-9652-F435549F67DC}"/>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B-7447-4904-9652-F435549F67DC}"/>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D-7447-4904-9652-F435549F67DC}"/>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4F-7447-4904-9652-F435549F67DC}"/>
              </c:ext>
            </c:extLst>
          </c:dPt>
          <c:cat>
            <c:strRef>
              <c:f>'Pass vs Fail Distribution'!$A$7:$A$11</c:f>
              <c:strCache>
                <c:ptCount val="4"/>
                <c:pt idx="0">
                  <c:v>Capsule-C</c:v>
                </c:pt>
                <c:pt idx="1">
                  <c:v>Ointment-D</c:v>
                </c:pt>
                <c:pt idx="2">
                  <c:v>Syrup-B</c:v>
                </c:pt>
                <c:pt idx="3">
                  <c:v>Tablet-A</c:v>
                </c:pt>
              </c:strCache>
            </c:strRef>
          </c:cat>
          <c:val>
            <c:numRef>
              <c:f>'Pass vs Fail Distribution'!$K$7:$K$11</c:f>
              <c:numCache>
                <c:formatCode>General</c:formatCode>
                <c:ptCount val="4"/>
                <c:pt idx="0">
                  <c:v>326</c:v>
                </c:pt>
                <c:pt idx="1">
                  <c:v>307</c:v>
                </c:pt>
                <c:pt idx="2">
                  <c:v>239</c:v>
                </c:pt>
                <c:pt idx="3">
                  <c:v>298</c:v>
                </c:pt>
              </c:numCache>
            </c:numRef>
          </c:val>
          <c:extLst>
            <c:ext xmlns:c16="http://schemas.microsoft.com/office/drawing/2014/chart" uri="{C3380CC4-5D6E-409C-BE32-E72D297353CC}">
              <c16:uniqueId val="{00000068-8C89-4282-9F72-EC9E544876C4}"/>
            </c:ext>
          </c:extLst>
        </c:ser>
        <c:ser>
          <c:idx val="10"/>
          <c:order val="10"/>
          <c:tx>
            <c:strRef>
              <c:f>'Pass vs Fail Distribution'!$L$3:$L$6</c:f>
              <c:strCache>
                <c:ptCount val="1"/>
                <c:pt idx="0">
                  <c:v>Sum of Failed - May</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1-7447-4904-9652-F435549F67DC}"/>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3-7447-4904-9652-F435549F67DC}"/>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5-7447-4904-9652-F435549F67DC}"/>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7-7447-4904-9652-F435549F67DC}"/>
              </c:ext>
            </c:extLst>
          </c:dPt>
          <c:cat>
            <c:strRef>
              <c:f>'Pass vs Fail Distribution'!$A$7:$A$11</c:f>
              <c:strCache>
                <c:ptCount val="4"/>
                <c:pt idx="0">
                  <c:v>Capsule-C</c:v>
                </c:pt>
                <c:pt idx="1">
                  <c:v>Ointment-D</c:v>
                </c:pt>
                <c:pt idx="2">
                  <c:v>Syrup-B</c:v>
                </c:pt>
                <c:pt idx="3">
                  <c:v>Tablet-A</c:v>
                </c:pt>
              </c:strCache>
            </c:strRef>
          </c:cat>
          <c:val>
            <c:numRef>
              <c:f>'Pass vs Fail Distribution'!$L$7:$L$11</c:f>
              <c:numCache>
                <c:formatCode>General</c:formatCode>
                <c:ptCount val="4"/>
                <c:pt idx="0">
                  <c:v>301</c:v>
                </c:pt>
                <c:pt idx="1">
                  <c:v>332</c:v>
                </c:pt>
                <c:pt idx="2">
                  <c:v>267</c:v>
                </c:pt>
                <c:pt idx="3">
                  <c:v>412</c:v>
                </c:pt>
              </c:numCache>
            </c:numRef>
          </c:val>
          <c:extLst>
            <c:ext xmlns:c16="http://schemas.microsoft.com/office/drawing/2014/chart" uri="{C3380CC4-5D6E-409C-BE32-E72D297353CC}">
              <c16:uniqueId val="{00000069-8C89-4282-9F72-EC9E544876C4}"/>
            </c:ext>
          </c:extLst>
        </c:ser>
        <c:ser>
          <c:idx val="11"/>
          <c:order val="11"/>
          <c:tx>
            <c:strRef>
              <c:f>'Pass vs Fail Distribution'!$M$3:$M$6</c:f>
              <c:strCache>
                <c:ptCount val="1"/>
                <c:pt idx="0">
                  <c:v>Sum of Failed - Jun</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9-7447-4904-9652-F435549F67DC}"/>
              </c:ext>
            </c:extLst>
          </c:dPt>
          <c:dPt>
            <c:idx val="1"/>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B-7447-4904-9652-F435549F67DC}"/>
              </c:ext>
            </c:extLst>
          </c:dPt>
          <c:dPt>
            <c:idx val="2"/>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D-7447-4904-9652-F435549F67DC}"/>
              </c:ext>
            </c:extLst>
          </c:dPt>
          <c:dPt>
            <c:idx val="3"/>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5F-7447-4904-9652-F435549F67DC}"/>
              </c:ext>
            </c:extLst>
          </c:dPt>
          <c:cat>
            <c:strRef>
              <c:f>'Pass vs Fail Distribution'!$A$7:$A$11</c:f>
              <c:strCache>
                <c:ptCount val="4"/>
                <c:pt idx="0">
                  <c:v>Capsule-C</c:v>
                </c:pt>
                <c:pt idx="1">
                  <c:v>Ointment-D</c:v>
                </c:pt>
                <c:pt idx="2">
                  <c:v>Syrup-B</c:v>
                </c:pt>
                <c:pt idx="3">
                  <c:v>Tablet-A</c:v>
                </c:pt>
              </c:strCache>
            </c:strRef>
          </c:cat>
          <c:val>
            <c:numRef>
              <c:f>'Pass vs Fail Distribution'!$M$7:$M$11</c:f>
              <c:numCache>
                <c:formatCode>General</c:formatCode>
                <c:ptCount val="4"/>
                <c:pt idx="0">
                  <c:v>282</c:v>
                </c:pt>
                <c:pt idx="1">
                  <c:v>245</c:v>
                </c:pt>
                <c:pt idx="2">
                  <c:v>279</c:v>
                </c:pt>
                <c:pt idx="3">
                  <c:v>260</c:v>
                </c:pt>
              </c:numCache>
            </c:numRef>
          </c:val>
          <c:extLst>
            <c:ext xmlns:c16="http://schemas.microsoft.com/office/drawing/2014/chart" uri="{C3380CC4-5D6E-409C-BE32-E72D297353CC}">
              <c16:uniqueId val="{0000006A-8C89-4282-9F72-EC9E544876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035961916330607"/>
          <c:y val="0.24418218511592379"/>
          <c:w val="0.20133801849785596"/>
          <c:h val="0.3166354567515439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5000"/>
            <a:lumMod val="110000"/>
          </a:schemeClr>
        </a:gs>
        <a:gs pos="88000">
          <a:schemeClr val="accent1">
            <a:tint val="90000"/>
          </a:schemeClr>
        </a:gs>
      </a:gsLst>
      <a:lin ang="5400000" scaled="0"/>
      <a:tileRect/>
    </a:gradFill>
    <a:ln w="12700" cap="rnd" cmpd="sng" algn="ctr">
      <a:solidFill>
        <a:schemeClr val="accent2">
          <a:lumMod val="50000"/>
        </a:schemeClr>
      </a:solidFill>
      <a:prstDash val="solid"/>
    </a:ln>
    <a:effectLst>
      <a:outerShdw blurRad="50800" dist="38100" dir="18900000" algn="bl" rotWithShape="0">
        <a:prstClr val="black">
          <a:alpha val="40000"/>
        </a:prstClr>
      </a:outerShdw>
    </a:effectLst>
    <a:scene3d>
      <a:camera prst="orthographicFront"/>
      <a:lightRig rig="threePt" dir="t"/>
    </a:scene3d>
    <a:sp3d>
      <a:bevelT w="139700" h="1397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274320</xdr:colOff>
      <xdr:row>11</xdr:row>
      <xdr:rowOff>87630</xdr:rowOff>
    </xdr:from>
    <xdr:to>
      <xdr:col>11</xdr:col>
      <xdr:colOff>381000</xdr:colOff>
      <xdr:row>26</xdr:row>
      <xdr:rowOff>87630</xdr:rowOff>
    </xdr:to>
    <xdr:graphicFrame macro="">
      <xdr:nvGraphicFramePr>
        <xdr:cNvPr id="2" name="Chart 1">
          <a:extLst>
            <a:ext uri="{FF2B5EF4-FFF2-40B4-BE49-F238E27FC236}">
              <a16:creationId xmlns:a16="http://schemas.microsoft.com/office/drawing/2014/main" id="{49EAF838-6D7C-9191-6A7B-66CD468A6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365760</xdr:colOff>
      <xdr:row>10</xdr:row>
      <xdr:rowOff>95250</xdr:rowOff>
    </xdr:from>
    <xdr:to>
      <xdr:col>7</xdr:col>
      <xdr:colOff>632460</xdr:colOff>
      <xdr:row>25</xdr:row>
      <xdr:rowOff>95250</xdr:rowOff>
    </xdr:to>
    <xdr:graphicFrame macro="">
      <xdr:nvGraphicFramePr>
        <xdr:cNvPr id="2" name="Chart 1">
          <a:extLst>
            <a:ext uri="{FF2B5EF4-FFF2-40B4-BE49-F238E27FC236}">
              <a16:creationId xmlns:a16="http://schemas.microsoft.com/office/drawing/2014/main" id="{994B55CC-7867-A06A-ADEB-C78BE7CBA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525780</xdr:colOff>
      <xdr:row>10</xdr:row>
      <xdr:rowOff>140970</xdr:rowOff>
    </xdr:from>
    <xdr:to>
      <xdr:col>7</xdr:col>
      <xdr:colOff>259080</xdr:colOff>
      <xdr:row>25</xdr:row>
      <xdr:rowOff>140970</xdr:rowOff>
    </xdr:to>
    <xdr:graphicFrame macro="">
      <xdr:nvGraphicFramePr>
        <xdr:cNvPr id="2" name="Chart 1">
          <a:extLst>
            <a:ext uri="{FF2B5EF4-FFF2-40B4-BE49-F238E27FC236}">
              <a16:creationId xmlns:a16="http://schemas.microsoft.com/office/drawing/2014/main" id="{187C243E-F682-2F6F-31DB-0D7558B1F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31320</xdr:colOff>
      <xdr:row>27</xdr:row>
      <xdr:rowOff>173525</xdr:rowOff>
    </xdr:to>
    <xdr:sp macro="" textlink="">
      <xdr:nvSpPr>
        <xdr:cNvPr id="6" name="Rectangle 5">
          <a:extLst>
            <a:ext uri="{FF2B5EF4-FFF2-40B4-BE49-F238E27FC236}">
              <a16:creationId xmlns:a16="http://schemas.microsoft.com/office/drawing/2014/main" id="{816F02E3-63E2-A39A-BAE5-F581387F8BBC}"/>
            </a:ext>
          </a:extLst>
        </xdr:cNvPr>
        <xdr:cNvSpPr/>
      </xdr:nvSpPr>
      <xdr:spPr>
        <a:xfrm>
          <a:off x="0" y="0"/>
          <a:ext cx="14120849" cy="5014466"/>
        </a:xfrm>
        <a:prstGeom prst="rect">
          <a:avLst/>
        </a:prstGeom>
        <a:ln>
          <a:noFill/>
        </a:ln>
        <a:effectLst>
          <a:outerShdw blurRad="50800" dist="38100" dir="18900000" algn="bl" rotWithShape="0">
            <a:prstClr val="black">
              <a:alpha val="40000"/>
            </a:prstClr>
          </a:outerShdw>
        </a:effectLst>
        <a:scene3d>
          <a:camera prst="orthographicFront">
            <a:rot lat="0" lon="0" rev="0"/>
          </a:camera>
          <a:lightRig rig="balanced" dir="tl">
            <a:rot lat="0" lon="0" rev="8700000"/>
          </a:lightRig>
        </a:scene3d>
        <a:sp3d>
          <a:bevelT w="190500" h="38100"/>
        </a:sp3d>
      </xdr:spPr>
      <xdr:style>
        <a:lnRef idx="0">
          <a:schemeClr val="accent4"/>
        </a:lnRef>
        <a:fillRef idx="1002">
          <a:schemeClr val="lt2"/>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239059</xdr:colOff>
      <xdr:row>3</xdr:row>
      <xdr:rowOff>24354</xdr:rowOff>
    </xdr:from>
    <xdr:to>
      <xdr:col>9</xdr:col>
      <xdr:colOff>273210</xdr:colOff>
      <xdr:row>8</xdr:row>
      <xdr:rowOff>27748</xdr:rowOff>
    </xdr:to>
    <xdr:sp macro="" textlink="">
      <xdr:nvSpPr>
        <xdr:cNvPr id="7" name="Rectangle: Single Corner Rounded 6">
          <a:extLst>
            <a:ext uri="{FF2B5EF4-FFF2-40B4-BE49-F238E27FC236}">
              <a16:creationId xmlns:a16="http://schemas.microsoft.com/office/drawing/2014/main" id="{E1E9F7B6-32A1-0D6A-FEB0-422AFC1E1264}"/>
            </a:ext>
          </a:extLst>
        </xdr:cNvPr>
        <xdr:cNvSpPr/>
      </xdr:nvSpPr>
      <xdr:spPr>
        <a:xfrm>
          <a:off x="3302000" y="562236"/>
          <a:ext cx="2484504" cy="899865"/>
        </a:xfrm>
        <a:prstGeom prst="round1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accent2">
              <a:lumMod val="50000"/>
            </a:schemeClr>
          </a:solidFill>
        </a:ln>
        <a:effectLst>
          <a:outerShdw blurRad="50800" dist="38100" dir="18900000" algn="b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611520</xdr:colOff>
      <xdr:row>4</xdr:row>
      <xdr:rowOff>49094</xdr:rowOff>
    </xdr:from>
    <xdr:to>
      <xdr:col>8</xdr:col>
      <xdr:colOff>312697</xdr:colOff>
      <xdr:row>5</xdr:row>
      <xdr:rowOff>170756</xdr:rowOff>
    </xdr:to>
    <xdr:sp macro="" textlink="">
      <xdr:nvSpPr>
        <xdr:cNvPr id="8" name="TextBox 7">
          <a:extLst>
            <a:ext uri="{FF2B5EF4-FFF2-40B4-BE49-F238E27FC236}">
              <a16:creationId xmlns:a16="http://schemas.microsoft.com/office/drawing/2014/main" id="{5D9FC79C-5351-5697-2ECF-A32A47B07D5C}"/>
            </a:ext>
          </a:extLst>
        </xdr:cNvPr>
        <xdr:cNvSpPr txBox="1"/>
      </xdr:nvSpPr>
      <xdr:spPr>
        <a:xfrm>
          <a:off x="3674461" y="766270"/>
          <a:ext cx="1538942" cy="300957"/>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pPr algn="ctr"/>
          <a:r>
            <a:rPr lang="en-IN" sz="1400" b="1" i="0" u="none">
              <a:solidFill>
                <a:schemeClr val="tx1"/>
              </a:solidFill>
              <a:latin typeface="Times New Roman" panose="02020603050405020304" pitchFamily="18" charset="0"/>
              <a:cs typeface="Times New Roman" panose="02020603050405020304" pitchFamily="18" charset="0"/>
            </a:rPr>
            <a:t>Total</a:t>
          </a:r>
          <a:r>
            <a:rPr lang="en-IN" sz="1400" b="1" i="0" u="none" baseline="0">
              <a:solidFill>
                <a:schemeClr val="tx1"/>
              </a:solidFill>
              <a:latin typeface="Times New Roman" panose="02020603050405020304" pitchFamily="18" charset="0"/>
              <a:cs typeface="Times New Roman" panose="02020603050405020304" pitchFamily="18" charset="0"/>
            </a:rPr>
            <a:t> Tests Done</a:t>
          </a:r>
          <a:endParaRPr lang="en-IN" sz="1400" b="1" i="0" u="none">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440294</xdr:colOff>
      <xdr:row>3</xdr:row>
      <xdr:rowOff>45550</xdr:rowOff>
    </xdr:from>
    <xdr:to>
      <xdr:col>13</xdr:col>
      <xdr:colOff>390605</xdr:colOff>
      <xdr:row>8</xdr:row>
      <xdr:rowOff>50160</xdr:rowOff>
    </xdr:to>
    <xdr:sp macro="" textlink="">
      <xdr:nvSpPr>
        <xdr:cNvPr id="9" name="Rectangle: Single Corner Rounded 8">
          <a:extLst>
            <a:ext uri="{FF2B5EF4-FFF2-40B4-BE49-F238E27FC236}">
              <a16:creationId xmlns:a16="http://schemas.microsoft.com/office/drawing/2014/main" id="{37994F8E-A09F-4076-9471-2C4B7BAD317C}"/>
            </a:ext>
          </a:extLst>
        </xdr:cNvPr>
        <xdr:cNvSpPr/>
      </xdr:nvSpPr>
      <xdr:spPr>
        <a:xfrm>
          <a:off x="5953588" y="583432"/>
          <a:ext cx="2400664" cy="901081"/>
        </a:xfrm>
        <a:prstGeom prst="round1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accent2">
              <a:lumMod val="50000"/>
            </a:schemeClr>
          </a:solidFill>
        </a:ln>
        <a:effectLst>
          <a:outerShdw blurRad="50800" dist="38100" dir="18900000" algn="b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521980</xdr:colOff>
      <xdr:row>3</xdr:row>
      <xdr:rowOff>60171</xdr:rowOff>
    </xdr:from>
    <xdr:to>
      <xdr:col>17</xdr:col>
      <xdr:colOff>436495</xdr:colOff>
      <xdr:row>8</xdr:row>
      <xdr:rowOff>33085</xdr:rowOff>
    </xdr:to>
    <xdr:sp macro="" textlink="">
      <xdr:nvSpPr>
        <xdr:cNvPr id="10" name="Rectangle: Single Corner Rounded 9">
          <a:extLst>
            <a:ext uri="{FF2B5EF4-FFF2-40B4-BE49-F238E27FC236}">
              <a16:creationId xmlns:a16="http://schemas.microsoft.com/office/drawing/2014/main" id="{AC229C7E-9CB8-4CE9-9DB8-900D49E8C792}"/>
            </a:ext>
          </a:extLst>
        </xdr:cNvPr>
        <xdr:cNvSpPr/>
      </xdr:nvSpPr>
      <xdr:spPr>
        <a:xfrm>
          <a:off x="8485627" y="598053"/>
          <a:ext cx="2364868" cy="869385"/>
        </a:xfrm>
        <a:prstGeom prst="round1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accent2">
              <a:lumMod val="50000"/>
            </a:schemeClr>
          </a:solidFill>
        </a:ln>
        <a:effectLst>
          <a:outerShdw blurRad="50800" dist="38100" dir="18900000" algn="b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597648</xdr:colOff>
      <xdr:row>3</xdr:row>
      <xdr:rowOff>71612</xdr:rowOff>
    </xdr:from>
    <xdr:to>
      <xdr:col>22</xdr:col>
      <xdr:colOff>199574</xdr:colOff>
      <xdr:row>8</xdr:row>
      <xdr:rowOff>29883</xdr:rowOff>
    </xdr:to>
    <xdr:sp macro="" textlink="">
      <xdr:nvSpPr>
        <xdr:cNvPr id="11" name="Rectangle: Single Corner Rounded 10">
          <a:extLst>
            <a:ext uri="{FF2B5EF4-FFF2-40B4-BE49-F238E27FC236}">
              <a16:creationId xmlns:a16="http://schemas.microsoft.com/office/drawing/2014/main" id="{9347F3A8-BBFD-4E54-8F07-8FAA0E6524B5}"/>
            </a:ext>
          </a:extLst>
        </xdr:cNvPr>
        <xdr:cNvSpPr/>
      </xdr:nvSpPr>
      <xdr:spPr>
        <a:xfrm>
          <a:off x="11011648" y="609494"/>
          <a:ext cx="2664867" cy="854742"/>
        </a:xfrm>
        <a:prstGeom prst="round1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accent2">
              <a:lumMod val="50000"/>
            </a:schemeClr>
          </a:solidFill>
        </a:ln>
        <a:effectLst>
          <a:outerShdw blurRad="50800" dist="38100" dir="18900000" algn="b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217244</xdr:colOff>
      <xdr:row>4</xdr:row>
      <xdr:rowOff>35946</xdr:rowOff>
    </xdr:from>
    <xdr:to>
      <xdr:col>12</xdr:col>
      <xdr:colOff>588043</xdr:colOff>
      <xdr:row>6</xdr:row>
      <xdr:rowOff>14940</xdr:rowOff>
    </xdr:to>
    <xdr:sp macro="" textlink="">
      <xdr:nvSpPr>
        <xdr:cNvPr id="12" name="TextBox 11">
          <a:extLst>
            <a:ext uri="{FF2B5EF4-FFF2-40B4-BE49-F238E27FC236}">
              <a16:creationId xmlns:a16="http://schemas.microsoft.com/office/drawing/2014/main" id="{953284D7-4941-4964-9797-50C86488707F}"/>
            </a:ext>
          </a:extLst>
        </xdr:cNvPr>
        <xdr:cNvSpPr txBox="1"/>
      </xdr:nvSpPr>
      <xdr:spPr>
        <a:xfrm>
          <a:off x="6343126" y="753122"/>
          <a:ext cx="1595976" cy="337583"/>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pPr algn="ctr"/>
          <a:r>
            <a:rPr lang="en-IN" sz="1400" b="1" i="0" u="none">
              <a:solidFill>
                <a:schemeClr val="tx1"/>
              </a:solidFill>
              <a:latin typeface="Times New Roman" panose="02020603050405020304" pitchFamily="18" charset="0"/>
              <a:cs typeface="Times New Roman" panose="02020603050405020304" pitchFamily="18" charset="0"/>
            </a:rPr>
            <a:t>Total</a:t>
          </a:r>
          <a:r>
            <a:rPr lang="en-IN" sz="1400" b="1" i="0" u="none" baseline="0">
              <a:solidFill>
                <a:schemeClr val="tx1"/>
              </a:solidFill>
              <a:latin typeface="Times New Roman" panose="02020603050405020304" pitchFamily="18" charset="0"/>
              <a:cs typeface="Times New Roman" panose="02020603050405020304" pitchFamily="18" charset="0"/>
            </a:rPr>
            <a:t> </a:t>
          </a:r>
          <a:r>
            <a:rPr lang="en-IN" sz="1600" b="1" i="0" u="none" baseline="0">
              <a:solidFill>
                <a:schemeClr val="tx1"/>
              </a:solidFill>
              <a:latin typeface="Times New Roman" panose="02020603050405020304" pitchFamily="18" charset="0"/>
              <a:cs typeface="Times New Roman" panose="02020603050405020304" pitchFamily="18" charset="0"/>
            </a:rPr>
            <a:t>Passed</a:t>
          </a:r>
          <a:endParaRPr lang="en-IN" sz="1400" b="1" i="0" u="none">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323477</xdr:colOff>
      <xdr:row>4</xdr:row>
      <xdr:rowOff>18548</xdr:rowOff>
    </xdr:from>
    <xdr:to>
      <xdr:col>16</xdr:col>
      <xdr:colOff>590176</xdr:colOff>
      <xdr:row>6</xdr:row>
      <xdr:rowOff>76176</xdr:rowOff>
    </xdr:to>
    <xdr:sp macro="" textlink="">
      <xdr:nvSpPr>
        <xdr:cNvPr id="13" name="TextBox 12">
          <a:extLst>
            <a:ext uri="{FF2B5EF4-FFF2-40B4-BE49-F238E27FC236}">
              <a16:creationId xmlns:a16="http://schemas.microsoft.com/office/drawing/2014/main" id="{B2B84F01-9440-489F-B16D-DCEA4F16DDC0}"/>
            </a:ext>
          </a:extLst>
        </xdr:cNvPr>
        <xdr:cNvSpPr txBox="1"/>
      </xdr:nvSpPr>
      <xdr:spPr>
        <a:xfrm>
          <a:off x="8899712" y="735724"/>
          <a:ext cx="1491876" cy="416217"/>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pPr algn="ctr"/>
          <a:r>
            <a:rPr lang="en-IN" sz="1600" b="1" i="0" u="none">
              <a:solidFill>
                <a:schemeClr val="tx1"/>
              </a:solidFill>
              <a:latin typeface="Times New Roman" panose="02020603050405020304" pitchFamily="18" charset="0"/>
              <a:cs typeface="Times New Roman" panose="02020603050405020304" pitchFamily="18" charset="0"/>
            </a:rPr>
            <a:t>Total</a:t>
          </a:r>
          <a:r>
            <a:rPr lang="en-IN" sz="1600" b="1" i="0" u="none" baseline="0">
              <a:solidFill>
                <a:schemeClr val="tx1"/>
              </a:solidFill>
              <a:latin typeface="Times New Roman" panose="02020603050405020304" pitchFamily="18" charset="0"/>
              <a:cs typeface="Times New Roman" panose="02020603050405020304" pitchFamily="18" charset="0"/>
            </a:rPr>
            <a:t> </a:t>
          </a:r>
          <a:r>
            <a:rPr lang="en-IN" sz="1400" b="1" i="0" u="none" baseline="0">
              <a:solidFill>
                <a:schemeClr val="tx1"/>
              </a:solidFill>
              <a:latin typeface="Times New Roman" panose="02020603050405020304" pitchFamily="18" charset="0"/>
              <a:cs typeface="Times New Roman" panose="02020603050405020304" pitchFamily="18" charset="0"/>
            </a:rPr>
            <a:t>Failed</a:t>
          </a:r>
          <a:endParaRPr lang="en-IN" sz="1600" b="1" i="0" u="none">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410883</xdr:colOff>
      <xdr:row>4</xdr:row>
      <xdr:rowOff>35323</xdr:rowOff>
    </xdr:from>
    <xdr:to>
      <xdr:col>21</xdr:col>
      <xdr:colOff>375663</xdr:colOff>
      <xdr:row>6</xdr:row>
      <xdr:rowOff>92951</xdr:rowOff>
    </xdr:to>
    <xdr:sp macro="" textlink="">
      <xdr:nvSpPr>
        <xdr:cNvPr id="14" name="TextBox 13">
          <a:extLst>
            <a:ext uri="{FF2B5EF4-FFF2-40B4-BE49-F238E27FC236}">
              <a16:creationId xmlns:a16="http://schemas.microsoft.com/office/drawing/2014/main" id="{C6EB65A3-151E-4B9C-8B38-EC969D1ED132}"/>
            </a:ext>
          </a:extLst>
        </xdr:cNvPr>
        <xdr:cNvSpPr txBox="1"/>
      </xdr:nvSpPr>
      <xdr:spPr>
        <a:xfrm>
          <a:off x="11437471" y="752499"/>
          <a:ext cx="1802545" cy="416217"/>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pPr algn="ctr"/>
          <a:r>
            <a:rPr lang="en-IN" sz="1600" b="1" i="0" u="none">
              <a:solidFill>
                <a:schemeClr val="tx1"/>
              </a:solidFill>
              <a:latin typeface="Times New Roman" panose="02020603050405020304" pitchFamily="18" charset="0"/>
              <a:cs typeface="Times New Roman" panose="02020603050405020304" pitchFamily="18" charset="0"/>
            </a:rPr>
            <a:t>Overall</a:t>
          </a:r>
          <a:r>
            <a:rPr lang="en-IN" sz="1600" b="1" i="0" u="none" baseline="0">
              <a:solidFill>
                <a:schemeClr val="tx1"/>
              </a:solidFill>
              <a:latin typeface="Times New Roman" panose="02020603050405020304" pitchFamily="18" charset="0"/>
              <a:cs typeface="Times New Roman" panose="02020603050405020304" pitchFamily="18" charset="0"/>
            </a:rPr>
            <a:t> Pass Rate</a:t>
          </a:r>
          <a:endParaRPr lang="en-IN" sz="1600" b="1" i="0" u="none">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178333</xdr:colOff>
      <xdr:row>5</xdr:row>
      <xdr:rowOff>164760</xdr:rowOff>
    </xdr:from>
    <xdr:to>
      <xdr:col>16</xdr:col>
      <xdr:colOff>268941</xdr:colOff>
      <xdr:row>7</xdr:row>
      <xdr:rowOff>137674</xdr:rowOff>
    </xdr:to>
    <xdr:sp macro="" textlink="'Sum of Failed'!A4">
      <xdr:nvSpPr>
        <xdr:cNvPr id="17" name="TextBox 16">
          <a:extLst>
            <a:ext uri="{FF2B5EF4-FFF2-40B4-BE49-F238E27FC236}">
              <a16:creationId xmlns:a16="http://schemas.microsoft.com/office/drawing/2014/main" id="{C9D2167B-68CC-4A12-A036-F98B25C2D70B}"/>
            </a:ext>
          </a:extLst>
        </xdr:cNvPr>
        <xdr:cNvSpPr txBox="1"/>
      </xdr:nvSpPr>
      <xdr:spPr>
        <a:xfrm>
          <a:off x="9367157" y="1061231"/>
          <a:ext cx="703196" cy="331502"/>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fld id="{EA48EDF8-8750-491B-AEC9-85FBD5F39C18}" type="TxLink">
            <a:rPr lang="en-US" sz="1600" b="1" i="0" u="none" strike="noStrike">
              <a:solidFill>
                <a:srgbClr val="000000"/>
              </a:solidFill>
              <a:latin typeface="Times New Roman" panose="02020603050405020304" pitchFamily="18" charset="0"/>
              <a:cs typeface="Times New Roman" panose="02020603050405020304" pitchFamily="18" charset="0"/>
            </a:rPr>
            <a:pPr/>
            <a:t>7081</a:t>
          </a:fld>
          <a:endParaRPr lang="en-IN" sz="2400" b="1">
            <a:latin typeface="Times New Roman" panose="02020603050405020304" pitchFamily="18" charset="0"/>
            <a:cs typeface="Times New Roman" panose="02020603050405020304" pitchFamily="18" charset="0"/>
          </a:endParaRPr>
        </a:p>
      </xdr:txBody>
    </xdr:sp>
    <xdr:clientData/>
  </xdr:twoCellAnchor>
  <xdr:twoCellAnchor>
    <xdr:from>
      <xdr:col>19</xdr:col>
      <xdr:colOff>459465</xdr:colOff>
      <xdr:row>5</xdr:row>
      <xdr:rowOff>167660</xdr:rowOff>
    </xdr:from>
    <xdr:to>
      <xdr:col>20</xdr:col>
      <xdr:colOff>475307</xdr:colOff>
      <xdr:row>7</xdr:row>
      <xdr:rowOff>149412</xdr:rowOff>
    </xdr:to>
    <xdr:sp macro="" textlink="'Sum of Pass Rate'!A4">
      <xdr:nvSpPr>
        <xdr:cNvPr id="18" name="TextBox 17">
          <a:extLst>
            <a:ext uri="{FF2B5EF4-FFF2-40B4-BE49-F238E27FC236}">
              <a16:creationId xmlns:a16="http://schemas.microsoft.com/office/drawing/2014/main" id="{D7C37F2A-E906-4F42-9996-05E41054B551}"/>
            </a:ext>
          </a:extLst>
        </xdr:cNvPr>
        <xdr:cNvSpPr txBox="1"/>
      </xdr:nvSpPr>
      <xdr:spPr>
        <a:xfrm>
          <a:off x="12070534" y="1073007"/>
          <a:ext cx="626951" cy="34389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fld id="{073CCE2F-7B93-4D31-9137-E334D9FDED82}" type="TxLink">
            <a:rPr lang="en-US" sz="1600" b="1" i="0" u="none" strike="noStrike">
              <a:solidFill>
                <a:srgbClr val="000000"/>
              </a:solidFill>
              <a:latin typeface="Times New Roman" panose="02020603050405020304" pitchFamily="18" charset="0"/>
              <a:cs typeface="Times New Roman" panose="02020603050405020304" pitchFamily="18" charset="0"/>
            </a:rPr>
            <a:pPr/>
            <a:t>84%</a:t>
          </a:fld>
          <a:endParaRPr lang="en-IN" sz="2400" b="1">
            <a:latin typeface="Times New Roman" panose="02020603050405020304" pitchFamily="18" charset="0"/>
            <a:cs typeface="Times New Roman" panose="02020603050405020304" pitchFamily="18" charset="0"/>
          </a:endParaRPr>
        </a:p>
      </xdr:txBody>
    </xdr:sp>
    <xdr:clientData/>
  </xdr:twoCellAnchor>
  <xdr:twoCellAnchor editAs="oneCell">
    <xdr:from>
      <xdr:col>8</xdr:col>
      <xdr:colOff>244394</xdr:colOff>
      <xdr:row>4</xdr:row>
      <xdr:rowOff>14944</xdr:rowOff>
    </xdr:from>
    <xdr:to>
      <xdr:col>9</xdr:col>
      <xdr:colOff>258000</xdr:colOff>
      <xdr:row>7</xdr:row>
      <xdr:rowOff>168623</xdr:rowOff>
    </xdr:to>
    <xdr:pic>
      <xdr:nvPicPr>
        <xdr:cNvPr id="22" name="Graphic 21" descr="Checklist with solid fill">
          <a:extLst>
            <a:ext uri="{FF2B5EF4-FFF2-40B4-BE49-F238E27FC236}">
              <a16:creationId xmlns:a16="http://schemas.microsoft.com/office/drawing/2014/main" id="{F5C26E63-28EC-6156-F16C-CBC946F9B7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45100" y="732120"/>
          <a:ext cx="626194" cy="691562"/>
        </a:xfrm>
        <a:prstGeom prst="rect">
          <a:avLst/>
        </a:prstGeom>
      </xdr:spPr>
    </xdr:pic>
    <xdr:clientData/>
  </xdr:twoCellAnchor>
  <xdr:twoCellAnchor editAs="oneCell">
    <xdr:from>
      <xdr:col>12</xdr:col>
      <xdr:colOff>432226</xdr:colOff>
      <xdr:row>4</xdr:row>
      <xdr:rowOff>68304</xdr:rowOff>
    </xdr:from>
    <xdr:to>
      <xdr:col>13</xdr:col>
      <xdr:colOff>374596</xdr:colOff>
      <xdr:row>8</xdr:row>
      <xdr:rowOff>42690</xdr:rowOff>
    </xdr:to>
    <xdr:pic>
      <xdr:nvPicPr>
        <xdr:cNvPr id="24" name="Graphic 23" descr="Bar graph with upward trend with solid fill">
          <a:extLst>
            <a:ext uri="{FF2B5EF4-FFF2-40B4-BE49-F238E27FC236}">
              <a16:creationId xmlns:a16="http://schemas.microsoft.com/office/drawing/2014/main" id="{5815B3B9-D2CE-BB3A-BB34-99C78F3F30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83285" y="785480"/>
          <a:ext cx="554958" cy="691563"/>
        </a:xfrm>
        <a:prstGeom prst="rect">
          <a:avLst/>
        </a:prstGeom>
      </xdr:spPr>
    </xdr:pic>
    <xdr:clientData/>
  </xdr:twoCellAnchor>
  <xdr:twoCellAnchor editAs="oneCell">
    <xdr:from>
      <xdr:col>16</xdr:col>
      <xdr:colOff>471714</xdr:colOff>
      <xdr:row>4</xdr:row>
      <xdr:rowOff>62968</xdr:rowOff>
    </xdr:from>
    <xdr:to>
      <xdr:col>17</xdr:col>
      <xdr:colOff>414084</xdr:colOff>
      <xdr:row>8</xdr:row>
      <xdr:rowOff>56565</xdr:rowOff>
    </xdr:to>
    <xdr:pic>
      <xdr:nvPicPr>
        <xdr:cNvPr id="26" name="Graphic 25" descr="Bar graph with downward trend with solid fill">
          <a:extLst>
            <a:ext uri="{FF2B5EF4-FFF2-40B4-BE49-F238E27FC236}">
              <a16:creationId xmlns:a16="http://schemas.microsoft.com/office/drawing/2014/main" id="{7A0DCD2B-B494-D2FB-1F16-79CB2F8B22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273126" y="780144"/>
          <a:ext cx="554958" cy="710774"/>
        </a:xfrm>
        <a:prstGeom prst="rect">
          <a:avLst/>
        </a:prstGeom>
      </xdr:spPr>
    </xdr:pic>
    <xdr:clientData/>
  </xdr:twoCellAnchor>
  <xdr:twoCellAnchor editAs="oneCell">
    <xdr:from>
      <xdr:col>21</xdr:col>
      <xdr:colOff>209177</xdr:colOff>
      <xdr:row>4</xdr:row>
      <xdr:rowOff>70912</xdr:rowOff>
    </xdr:from>
    <xdr:to>
      <xdr:col>22</xdr:col>
      <xdr:colOff>196370</xdr:colOff>
      <xdr:row>8</xdr:row>
      <xdr:rowOff>41621</xdr:rowOff>
    </xdr:to>
    <xdr:pic>
      <xdr:nvPicPr>
        <xdr:cNvPr id="28" name="Graphic 27" descr="Statistics with solid fill">
          <a:extLst>
            <a:ext uri="{FF2B5EF4-FFF2-40B4-BE49-F238E27FC236}">
              <a16:creationId xmlns:a16="http://schemas.microsoft.com/office/drawing/2014/main" id="{527AF437-63F7-3A69-C7F6-D36796BE1F1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073530" y="788088"/>
          <a:ext cx="599781" cy="687886"/>
        </a:xfrm>
        <a:prstGeom prst="rect">
          <a:avLst/>
        </a:prstGeom>
      </xdr:spPr>
    </xdr:pic>
    <xdr:clientData/>
  </xdr:twoCellAnchor>
  <xdr:twoCellAnchor>
    <xdr:from>
      <xdr:col>5</xdr:col>
      <xdr:colOff>186768</xdr:colOff>
      <xdr:row>3</xdr:row>
      <xdr:rowOff>22412</xdr:rowOff>
    </xdr:from>
    <xdr:to>
      <xdr:col>6</xdr:col>
      <xdr:colOff>156887</xdr:colOff>
      <xdr:row>8</xdr:row>
      <xdr:rowOff>59765</xdr:rowOff>
    </xdr:to>
    <xdr:sp macro="" textlink="">
      <xdr:nvSpPr>
        <xdr:cNvPr id="2" name="Flowchart: Document 1">
          <a:extLst>
            <a:ext uri="{FF2B5EF4-FFF2-40B4-BE49-F238E27FC236}">
              <a16:creationId xmlns:a16="http://schemas.microsoft.com/office/drawing/2014/main" id="{90D11FE7-6101-5166-EEDB-EFA5E1C58D2B}"/>
            </a:ext>
          </a:extLst>
        </xdr:cNvPr>
        <xdr:cNvSpPr/>
      </xdr:nvSpPr>
      <xdr:spPr>
        <a:xfrm rot="16200000">
          <a:off x="3074151" y="735852"/>
          <a:ext cx="933824" cy="582707"/>
        </a:xfrm>
        <a:prstGeom prst="flowChartDocument">
          <a:avLst/>
        </a:prstGeom>
        <a:ln>
          <a:noFill/>
        </a:ln>
        <a:effectLst/>
        <a:scene3d>
          <a:camera prst="orthographicFront">
            <a:rot lat="0" lon="0" rev="0"/>
          </a:camera>
          <a:lightRig rig="contrasting" dir="t">
            <a:rot lat="0" lon="0" rev="7800000"/>
          </a:lightRig>
        </a:scene3d>
        <a:sp3d>
          <a:bevelT w="139700" h="1397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590179</xdr:colOff>
      <xdr:row>3</xdr:row>
      <xdr:rowOff>77694</xdr:rowOff>
    </xdr:from>
    <xdr:to>
      <xdr:col>18</xdr:col>
      <xdr:colOff>510997</xdr:colOff>
      <xdr:row>8</xdr:row>
      <xdr:rowOff>44822</xdr:rowOff>
    </xdr:to>
    <xdr:sp macro="" textlink="">
      <xdr:nvSpPr>
        <xdr:cNvPr id="3" name="Flowchart: Document 2">
          <a:extLst>
            <a:ext uri="{FF2B5EF4-FFF2-40B4-BE49-F238E27FC236}">
              <a16:creationId xmlns:a16="http://schemas.microsoft.com/office/drawing/2014/main" id="{7B974BB7-9A16-4AD8-8CFC-74E384D407CA}"/>
            </a:ext>
          </a:extLst>
        </xdr:cNvPr>
        <xdr:cNvSpPr/>
      </xdr:nvSpPr>
      <xdr:spPr>
        <a:xfrm rot="16200000">
          <a:off x="10839082" y="780673"/>
          <a:ext cx="863599" cy="533406"/>
        </a:xfrm>
        <a:prstGeom prst="flowChartDocument">
          <a:avLst/>
        </a:prstGeom>
        <a:ln>
          <a:noFill/>
        </a:ln>
        <a:effectLst/>
        <a:scene3d>
          <a:camera prst="orthographicFront">
            <a:rot lat="0" lon="0" rev="0"/>
          </a:camera>
          <a:lightRig rig="contrasting" dir="t">
            <a:rot lat="0" lon="0" rev="7800000"/>
          </a:lightRig>
        </a:scene3d>
        <a:sp3d>
          <a:bevelT w="139700" h="1397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500529</xdr:colOff>
      <xdr:row>3</xdr:row>
      <xdr:rowOff>58272</xdr:rowOff>
    </xdr:from>
    <xdr:to>
      <xdr:col>14</xdr:col>
      <xdr:colOff>476636</xdr:colOff>
      <xdr:row>8</xdr:row>
      <xdr:rowOff>67234</xdr:rowOff>
    </xdr:to>
    <xdr:sp macro="" textlink="">
      <xdr:nvSpPr>
        <xdr:cNvPr id="4" name="Flowchart: Document 3">
          <a:extLst>
            <a:ext uri="{FF2B5EF4-FFF2-40B4-BE49-F238E27FC236}">
              <a16:creationId xmlns:a16="http://schemas.microsoft.com/office/drawing/2014/main" id="{DAEE205C-8A09-4075-B46F-5752010DD1B4}"/>
            </a:ext>
          </a:extLst>
        </xdr:cNvPr>
        <xdr:cNvSpPr/>
      </xdr:nvSpPr>
      <xdr:spPr>
        <a:xfrm rot="16200000">
          <a:off x="8305807" y="754523"/>
          <a:ext cx="905433" cy="588695"/>
        </a:xfrm>
        <a:prstGeom prst="flowChartDocument">
          <a:avLst/>
        </a:prstGeom>
        <a:ln>
          <a:noFill/>
        </a:ln>
        <a:effectLst/>
        <a:scene3d>
          <a:camera prst="orthographicFront">
            <a:rot lat="0" lon="0" rev="0"/>
          </a:camera>
          <a:lightRig rig="contrasting" dir="t">
            <a:rot lat="0" lon="0" rev="7800000"/>
          </a:lightRig>
        </a:scene3d>
        <a:sp3d>
          <a:bevelT w="139700" h="1397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412383</xdr:colOff>
      <xdr:row>3</xdr:row>
      <xdr:rowOff>46319</xdr:rowOff>
    </xdr:from>
    <xdr:to>
      <xdr:col>10</xdr:col>
      <xdr:colOff>382502</xdr:colOff>
      <xdr:row>8</xdr:row>
      <xdr:rowOff>74706</xdr:rowOff>
    </xdr:to>
    <xdr:sp macro="" textlink="">
      <xdr:nvSpPr>
        <xdr:cNvPr id="5" name="Flowchart: Document 4">
          <a:extLst>
            <a:ext uri="{FF2B5EF4-FFF2-40B4-BE49-F238E27FC236}">
              <a16:creationId xmlns:a16="http://schemas.microsoft.com/office/drawing/2014/main" id="{64A4348B-949F-492E-9FC3-FD168B96C248}"/>
            </a:ext>
          </a:extLst>
        </xdr:cNvPr>
        <xdr:cNvSpPr/>
      </xdr:nvSpPr>
      <xdr:spPr>
        <a:xfrm rot="16200000">
          <a:off x="5754602" y="755276"/>
          <a:ext cx="924858" cy="582707"/>
        </a:xfrm>
        <a:prstGeom prst="flowChartDocument">
          <a:avLst/>
        </a:prstGeom>
        <a:ln>
          <a:noFill/>
        </a:ln>
        <a:effectLst/>
        <a:scene3d>
          <a:camera prst="orthographicFront">
            <a:rot lat="0" lon="0" rev="0"/>
          </a:camera>
          <a:lightRig rig="contrasting" dir="t">
            <a:rot lat="0" lon="0" rev="7800000"/>
          </a:lightRig>
        </a:scene3d>
        <a:sp3d>
          <a:bevelT w="139700" h="1397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530413</xdr:colOff>
      <xdr:row>9</xdr:row>
      <xdr:rowOff>7470</xdr:rowOff>
    </xdr:from>
    <xdr:to>
      <xdr:col>22</xdr:col>
      <xdr:colOff>201707</xdr:colOff>
      <xdr:row>26</xdr:row>
      <xdr:rowOff>112058</xdr:rowOff>
    </xdr:to>
    <xdr:graphicFrame macro="">
      <xdr:nvGraphicFramePr>
        <xdr:cNvPr id="19" name="Chart 18">
          <a:extLst>
            <a:ext uri="{FF2B5EF4-FFF2-40B4-BE49-F238E27FC236}">
              <a16:creationId xmlns:a16="http://schemas.microsoft.com/office/drawing/2014/main" id="{296C4B9D-74FF-40A1-A0F0-EFF455041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156882</xdr:colOff>
      <xdr:row>9</xdr:row>
      <xdr:rowOff>14941</xdr:rowOff>
    </xdr:from>
    <xdr:to>
      <xdr:col>14</xdr:col>
      <xdr:colOff>348728</xdr:colOff>
      <xdr:row>26</xdr:row>
      <xdr:rowOff>127000</xdr:rowOff>
    </xdr:to>
    <xdr:graphicFrame macro="">
      <xdr:nvGraphicFramePr>
        <xdr:cNvPr id="20" name="Chart 19">
          <a:extLst>
            <a:ext uri="{FF2B5EF4-FFF2-40B4-BE49-F238E27FC236}">
              <a16:creationId xmlns:a16="http://schemas.microsoft.com/office/drawing/2014/main" id="{4EB9DCD2-A6BC-49EA-B71A-10F89C014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134471</xdr:colOff>
      <xdr:row>9</xdr:row>
      <xdr:rowOff>7471</xdr:rowOff>
    </xdr:from>
    <xdr:to>
      <xdr:col>7</xdr:col>
      <xdr:colOff>0</xdr:colOff>
      <xdr:row>26</xdr:row>
      <xdr:rowOff>134471</xdr:rowOff>
    </xdr:to>
    <xdr:graphicFrame macro="">
      <xdr:nvGraphicFramePr>
        <xdr:cNvPr id="21" name="Chart 20">
          <a:extLst>
            <a:ext uri="{FF2B5EF4-FFF2-40B4-BE49-F238E27FC236}">
              <a16:creationId xmlns:a16="http://schemas.microsoft.com/office/drawing/2014/main" id="{F7D8DE92-3CC5-4690-8DBF-C083FAAC8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567765</xdr:colOff>
      <xdr:row>2</xdr:row>
      <xdr:rowOff>104588</xdr:rowOff>
    </xdr:from>
    <xdr:to>
      <xdr:col>5</xdr:col>
      <xdr:colOff>59765</xdr:colOff>
      <xdr:row>8</xdr:row>
      <xdr:rowOff>119529</xdr:rowOff>
    </xdr:to>
    <mc:AlternateContent xmlns:mc="http://schemas.openxmlformats.org/markup-compatibility/2006" xmlns:a14="http://schemas.microsoft.com/office/drawing/2010/main">
      <mc:Choice Requires="a14">
        <xdr:graphicFrame macro="">
          <xdr:nvGraphicFramePr>
            <xdr:cNvPr id="25" name="Product">
              <a:extLst>
                <a:ext uri="{FF2B5EF4-FFF2-40B4-BE49-F238E27FC236}">
                  <a16:creationId xmlns:a16="http://schemas.microsoft.com/office/drawing/2014/main" id="{2EE05013-DC76-C9D9-1C0A-D9A0307951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92941" y="463176"/>
              <a:ext cx="1329765" cy="1090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190158</xdr:colOff>
      <xdr:row>2</xdr:row>
      <xdr:rowOff>98911</xdr:rowOff>
    </xdr:from>
    <xdr:to>
      <xdr:col>2</xdr:col>
      <xdr:colOff>505866</xdr:colOff>
      <xdr:row>8</xdr:row>
      <xdr:rowOff>97118</xdr:rowOff>
    </xdr:to>
    <mc:AlternateContent xmlns:mc="http://schemas.openxmlformats.org/markup-compatibility/2006" xmlns:a14="http://schemas.microsoft.com/office/drawing/2010/main">
      <mc:Choice Requires="a14">
        <xdr:graphicFrame macro="">
          <xdr:nvGraphicFramePr>
            <xdr:cNvPr id="27" name="Month">
              <a:extLst>
                <a:ext uri="{FF2B5EF4-FFF2-40B4-BE49-F238E27FC236}">
                  <a16:creationId xmlns:a16="http://schemas.microsoft.com/office/drawing/2014/main" id="{173C309F-63F1-74BF-656F-452AEC450E5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0158" y="461050"/>
              <a:ext cx="1537926" cy="1084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112060</xdr:colOff>
      <xdr:row>0</xdr:row>
      <xdr:rowOff>59765</xdr:rowOff>
    </xdr:from>
    <xdr:to>
      <xdr:col>22</xdr:col>
      <xdr:colOff>179295</xdr:colOff>
      <xdr:row>2</xdr:row>
      <xdr:rowOff>67236</xdr:rowOff>
    </xdr:to>
    <xdr:sp macro="" textlink="">
      <xdr:nvSpPr>
        <xdr:cNvPr id="29" name="Rectangle: Rounded Corners 28">
          <a:extLst>
            <a:ext uri="{FF2B5EF4-FFF2-40B4-BE49-F238E27FC236}">
              <a16:creationId xmlns:a16="http://schemas.microsoft.com/office/drawing/2014/main" id="{F558DF0A-D314-D108-1226-14457FD32016}"/>
            </a:ext>
          </a:extLst>
        </xdr:cNvPr>
        <xdr:cNvSpPr/>
      </xdr:nvSpPr>
      <xdr:spPr>
        <a:xfrm>
          <a:off x="112060" y="59765"/>
          <a:ext cx="13544176" cy="366059"/>
        </a:xfrm>
        <a:prstGeom prst="roundRect">
          <a:avLst/>
        </a:prstGeom>
        <a:ln>
          <a:solidFill>
            <a:schemeClr val="accent2">
              <a:lumMod val="50000"/>
            </a:schemeClr>
          </a:solidFill>
        </a:ln>
        <a:effectLst>
          <a:outerShdw blurRad="50800" dist="38100" dir="8100000" algn="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800" b="1">
              <a:solidFill>
                <a:schemeClr val="tx1"/>
              </a:solidFill>
              <a:latin typeface="Times New Roman" panose="02020603050405020304" pitchFamily="18" charset="0"/>
              <a:cs typeface="Times New Roman" panose="02020603050405020304" pitchFamily="18" charset="0"/>
            </a:rPr>
            <a:t>Dashboard For Analysing Pharma QC Test Results </a:t>
          </a:r>
        </a:p>
      </xdr:txBody>
    </xdr:sp>
    <xdr:clientData/>
  </xdr:twoCellAnchor>
  <xdr:twoCellAnchor>
    <xdr:from>
      <xdr:col>6</xdr:col>
      <xdr:colOff>440703</xdr:colOff>
      <xdr:row>5</xdr:row>
      <xdr:rowOff>150238</xdr:rowOff>
    </xdr:from>
    <xdr:to>
      <xdr:col>7</xdr:col>
      <xdr:colOff>609223</xdr:colOff>
      <xdr:row>7</xdr:row>
      <xdr:rowOff>49764</xdr:rowOff>
    </xdr:to>
    <xdr:sp macro="" textlink="'Sum of Test Done'!A4">
      <xdr:nvSpPr>
        <xdr:cNvPr id="23" name="TextBox 22">
          <a:extLst>
            <a:ext uri="{FF2B5EF4-FFF2-40B4-BE49-F238E27FC236}">
              <a16:creationId xmlns:a16="http://schemas.microsoft.com/office/drawing/2014/main" id="{7E9FDF99-575D-9A9F-EA7C-F65DB907E415}"/>
            </a:ext>
          </a:extLst>
        </xdr:cNvPr>
        <xdr:cNvSpPr txBox="1"/>
      </xdr:nvSpPr>
      <xdr:spPr>
        <a:xfrm>
          <a:off x="4107356" y="1055585"/>
          <a:ext cx="779629" cy="26166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4C3E35-17BF-40AB-AF0C-A1EBAFED213F}" type="TxLink">
            <a:rPr lang="en-US" sz="1600" b="1" i="0" u="none" strike="noStrike">
              <a:solidFill>
                <a:srgbClr val="000000"/>
              </a:solidFill>
              <a:latin typeface="Times New Roman" panose="02020603050405020304" pitchFamily="18" charset="0"/>
              <a:cs typeface="Times New Roman" panose="02020603050405020304" pitchFamily="18" charset="0"/>
            </a:rPr>
            <a:pPr/>
            <a:t>44528</a:t>
          </a:fld>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11</xdr:col>
      <xdr:colOff>105624</xdr:colOff>
      <xdr:row>6</xdr:row>
      <xdr:rowOff>0</xdr:rowOff>
    </xdr:from>
    <xdr:to>
      <xdr:col>12</xdr:col>
      <xdr:colOff>233881</xdr:colOff>
      <xdr:row>7</xdr:row>
      <xdr:rowOff>82990</xdr:rowOff>
    </xdr:to>
    <xdr:sp macro="" textlink="'Sum of Passed'!A4">
      <xdr:nvSpPr>
        <xdr:cNvPr id="30" name="TextBox 29">
          <a:extLst>
            <a:ext uri="{FF2B5EF4-FFF2-40B4-BE49-F238E27FC236}">
              <a16:creationId xmlns:a16="http://schemas.microsoft.com/office/drawing/2014/main" id="{2A129BF5-432D-2807-75F0-08222C670059}"/>
            </a:ext>
          </a:extLst>
        </xdr:cNvPr>
        <xdr:cNvSpPr txBox="1"/>
      </xdr:nvSpPr>
      <xdr:spPr>
        <a:xfrm>
          <a:off x="6827822" y="1086416"/>
          <a:ext cx="739366" cy="26405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2F6311-6EF0-4299-B805-4441595CDDB3}" type="TxLink">
            <a:rPr lang="en-US" sz="1600" b="1" i="0" u="none" strike="noStrike">
              <a:solidFill>
                <a:srgbClr val="000000"/>
              </a:solidFill>
              <a:latin typeface="Times New Roman" panose="02020603050405020304" pitchFamily="18" charset="0"/>
              <a:cs typeface="Times New Roman" panose="02020603050405020304" pitchFamily="18" charset="0"/>
            </a:rPr>
            <a:pPr/>
            <a:t>37447</a:t>
          </a:fld>
          <a:endParaRPr lang="en-IN" sz="11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raksha Khose" refreshedDate="45916.731104166669" createdVersion="8" refreshedVersion="8" minRefreshableVersion="3" recordCount="724" xr:uid="{DE72773F-95FF-4F75-B977-FC194BEB3D8E}">
  <cacheSource type="worksheet">
    <worksheetSource ref="A1:H725" sheet="Modified Data"/>
  </cacheSource>
  <cacheFields count="11">
    <cacheField name="Date" numFmtId="14">
      <sharedItems containsSemiMixedTypes="0" containsNonDate="0" containsDate="1" containsString="0" minDate="2025-01-01T00:00:00" maxDate="2025-07-01T00:00:00" count="18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sharedItems>
      <fieldGroup par="9"/>
    </cacheField>
    <cacheField name="Product" numFmtId="0">
      <sharedItems count="4">
        <s v="Tablet-A"/>
        <s v="Syrup-B"/>
        <s v="Capsule-C"/>
        <s v="Ointment-D"/>
      </sharedItems>
    </cacheField>
    <cacheField name="BatchID" numFmtId="0">
      <sharedItems/>
    </cacheField>
    <cacheField name="Tests_Done" numFmtId="0">
      <sharedItems containsSemiMixedTypes="0" containsString="0" containsNumber="1" containsInteger="1" minValue="20" maxValue="100"/>
    </cacheField>
    <cacheField name="Passed" numFmtId="0">
      <sharedItems containsSemiMixedTypes="0" containsString="0" containsNumber="1" containsInteger="1" minValue="14" maxValue="98"/>
    </cacheField>
    <cacheField name="Failed" numFmtId="0">
      <sharedItems containsSemiMixedTypes="0" containsString="0" containsNumber="1" containsInteger="1" minValue="0" maxValue="30"/>
    </cacheField>
    <cacheField name="Month" numFmtId="0">
      <sharedItems count="6">
        <s v="2025-01"/>
        <s v="2025-02"/>
        <s v="2025-03"/>
        <s v="2025-04"/>
        <s v="2025-05"/>
        <s v="2025-06"/>
      </sharedItems>
    </cacheField>
    <cacheField name="Pass_Rate" numFmtId="9">
      <sharedItems containsSemiMixedTypes="0" containsString="0" containsNumber="1" minValue="0.66666666666666663" maxValue="1"/>
    </cacheField>
    <cacheField name="Days (Date)" numFmtId="0" databaseField="0">
      <fieldGroup base="0">
        <rangePr groupBy="days" startDate="2025-01-01T00:00:00" endDate="2025-07-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Date)" numFmtId="0" databaseField="0">
      <fieldGroup base="0">
        <rangePr groupBy="months" startDate="2025-01-01T00:00:00" endDate="2025-07-01T00:00:00"/>
        <groupItems count="14">
          <s v="&lt;01-01-2025"/>
          <s v="Jan"/>
          <s v="Feb"/>
          <s v="Mar"/>
          <s v="Apr"/>
          <s v="May"/>
          <s v="Jun"/>
          <s v="Jul"/>
          <s v="Aug"/>
          <s v="Sep"/>
          <s v="Oct"/>
          <s v="Nov"/>
          <s v="Dec"/>
          <s v="&gt;01-07-2025"/>
        </groupItems>
      </fieldGroup>
    </cacheField>
    <cacheField name="Pass Rate" numFmtId="0" formula="Passed/Tests_Done" databaseField="0"/>
  </cacheFields>
  <extLst>
    <ext xmlns:x14="http://schemas.microsoft.com/office/spreadsheetml/2009/9/main" uri="{725AE2AE-9491-48be-B2B4-4EB974FC3084}">
      <x14:pivotCacheDefinition pivotCacheId="354837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4">
  <r>
    <x v="0"/>
    <x v="0"/>
    <s v="TAB-2824"/>
    <n v="23"/>
    <n v="20"/>
    <n v="3"/>
    <x v="0"/>
    <n v="0.86956521739130432"/>
  </r>
  <r>
    <x v="0"/>
    <x v="1"/>
    <s v="SYR-5012"/>
    <n v="48"/>
    <n v="37"/>
    <n v="11"/>
    <x v="0"/>
    <n v="0.77083333333333337"/>
  </r>
  <r>
    <x v="0"/>
    <x v="2"/>
    <s v="CAP-2679"/>
    <n v="89"/>
    <n v="64"/>
    <n v="25"/>
    <x v="0"/>
    <n v="0.7191011235955056"/>
  </r>
  <r>
    <x v="0"/>
    <x v="3"/>
    <s v="OIN-7912"/>
    <n v="24"/>
    <n v="16"/>
    <n v="8"/>
    <x v="0"/>
    <n v="0.66666666666666663"/>
  </r>
  <r>
    <x v="1"/>
    <x v="0"/>
    <s v="TAB-2535"/>
    <n v="47"/>
    <n v="39"/>
    <n v="8"/>
    <x v="0"/>
    <n v="0.82978723404255317"/>
  </r>
  <r>
    <x v="1"/>
    <x v="1"/>
    <s v="SYR-9279"/>
    <n v="97"/>
    <n v="67"/>
    <n v="30"/>
    <x v="0"/>
    <n v="0.69072164948453607"/>
  </r>
  <r>
    <x v="1"/>
    <x v="2"/>
    <s v="CAP-4257"/>
    <n v="89"/>
    <n v="75"/>
    <n v="14"/>
    <x v="0"/>
    <n v="0.84269662921348309"/>
  </r>
  <r>
    <x v="1"/>
    <x v="3"/>
    <s v="OIN-4611"/>
    <n v="77"/>
    <n v="71"/>
    <n v="6"/>
    <x v="0"/>
    <n v="0.92207792207792205"/>
  </r>
  <r>
    <x v="2"/>
    <x v="0"/>
    <s v="TAB-5557"/>
    <n v="20"/>
    <n v="20"/>
    <n v="0"/>
    <x v="0"/>
    <n v="1"/>
  </r>
  <r>
    <x v="2"/>
    <x v="1"/>
    <s v="SYR-3615"/>
    <n v="74"/>
    <n v="61"/>
    <n v="13"/>
    <x v="0"/>
    <n v="0.82432432432432434"/>
  </r>
  <r>
    <x v="2"/>
    <x v="2"/>
    <s v="CAP-5552"/>
    <n v="39"/>
    <n v="30"/>
    <n v="9"/>
    <x v="0"/>
    <n v="0.76923076923076927"/>
  </r>
  <r>
    <x v="2"/>
    <x v="3"/>
    <s v="OIN-6514"/>
    <n v="33"/>
    <n v="24"/>
    <n v="9"/>
    <x v="0"/>
    <n v="0.72727272727272729"/>
  </r>
  <r>
    <x v="3"/>
    <x v="0"/>
    <s v="TAB-7224"/>
    <n v="32"/>
    <n v="27"/>
    <n v="5"/>
    <x v="0"/>
    <n v="0.84375"/>
  </r>
  <r>
    <x v="3"/>
    <x v="1"/>
    <s v="SYR-6635"/>
    <n v="97"/>
    <n v="75"/>
    <n v="22"/>
    <x v="0"/>
    <n v="0.77319587628865982"/>
  </r>
  <r>
    <x v="3"/>
    <x v="2"/>
    <s v="CAP-1711"/>
    <n v="78"/>
    <n v="71"/>
    <n v="7"/>
    <x v="0"/>
    <n v="0.91025641025641024"/>
  </r>
  <r>
    <x v="3"/>
    <x v="3"/>
    <s v="OIN-3045"/>
    <n v="68"/>
    <n v="49"/>
    <n v="19"/>
    <x v="0"/>
    <n v="0.72058823529411764"/>
  </r>
  <r>
    <x v="4"/>
    <x v="0"/>
    <s v="TAB-5803"/>
    <n v="100"/>
    <n v="89"/>
    <n v="11"/>
    <x v="0"/>
    <n v="0.89"/>
  </r>
  <r>
    <x v="4"/>
    <x v="1"/>
    <s v="SYR-6925"/>
    <n v="93"/>
    <n v="71"/>
    <n v="22"/>
    <x v="0"/>
    <n v="0.76344086021505375"/>
  </r>
  <r>
    <x v="4"/>
    <x v="2"/>
    <s v="CAP-2139"/>
    <n v="25"/>
    <n v="20"/>
    <n v="5"/>
    <x v="0"/>
    <n v="0.8"/>
  </r>
  <r>
    <x v="4"/>
    <x v="3"/>
    <s v="OIN-5741"/>
    <n v="30"/>
    <n v="24"/>
    <n v="6"/>
    <x v="0"/>
    <n v="0.8"/>
  </r>
  <r>
    <x v="5"/>
    <x v="0"/>
    <s v="TAB-2654"/>
    <n v="68"/>
    <n v="55"/>
    <n v="13"/>
    <x v="0"/>
    <n v="0.80882352941176472"/>
  </r>
  <r>
    <x v="5"/>
    <x v="1"/>
    <s v="SYR-8428"/>
    <n v="66"/>
    <n v="51"/>
    <n v="15"/>
    <x v="0"/>
    <n v="0.77272727272727271"/>
  </r>
  <r>
    <x v="5"/>
    <x v="2"/>
    <s v="CAP-7065"/>
    <n v="65"/>
    <n v="51"/>
    <n v="14"/>
    <x v="0"/>
    <n v="0.7846153846153846"/>
  </r>
  <r>
    <x v="5"/>
    <x v="3"/>
    <s v="OIN-5374"/>
    <n v="29"/>
    <n v="29"/>
    <n v="0"/>
    <x v="0"/>
    <n v="1"/>
  </r>
  <r>
    <x v="6"/>
    <x v="0"/>
    <s v="TAB-3803"/>
    <n v="88"/>
    <n v="84"/>
    <n v="4"/>
    <x v="0"/>
    <n v="0.95454545454545459"/>
  </r>
  <r>
    <x v="6"/>
    <x v="1"/>
    <s v="SYR-5010"/>
    <n v="40"/>
    <n v="35"/>
    <n v="5"/>
    <x v="0"/>
    <n v="0.875"/>
  </r>
  <r>
    <x v="6"/>
    <x v="2"/>
    <s v="CAP-7216"/>
    <n v="54"/>
    <n v="54"/>
    <n v="0"/>
    <x v="0"/>
    <n v="1"/>
  </r>
  <r>
    <x v="6"/>
    <x v="3"/>
    <s v="OIN-4598"/>
    <n v="61"/>
    <n v="43"/>
    <n v="18"/>
    <x v="0"/>
    <n v="0.70491803278688525"/>
  </r>
  <r>
    <x v="7"/>
    <x v="0"/>
    <s v="TAB-4752"/>
    <n v="24"/>
    <n v="21"/>
    <n v="3"/>
    <x v="0"/>
    <n v="0.875"/>
  </r>
  <r>
    <x v="7"/>
    <x v="1"/>
    <s v="SYR-7572"/>
    <n v="54"/>
    <n v="39"/>
    <n v="15"/>
    <x v="0"/>
    <n v="0.72222222222222221"/>
  </r>
  <r>
    <x v="7"/>
    <x v="2"/>
    <s v="CAP-4456"/>
    <n v="92"/>
    <n v="92"/>
    <n v="0"/>
    <x v="0"/>
    <n v="1"/>
  </r>
  <r>
    <x v="7"/>
    <x v="3"/>
    <s v="OIN-6155"/>
    <n v="47"/>
    <n v="47"/>
    <n v="0"/>
    <x v="0"/>
    <n v="1"/>
  </r>
  <r>
    <x v="8"/>
    <x v="0"/>
    <s v="TAB-7482"/>
    <n v="78"/>
    <n v="58"/>
    <n v="20"/>
    <x v="0"/>
    <n v="0.74358974358974361"/>
  </r>
  <r>
    <x v="8"/>
    <x v="1"/>
    <s v="SYR-5339"/>
    <n v="37"/>
    <n v="28"/>
    <n v="9"/>
    <x v="0"/>
    <n v="0.7567567567567568"/>
  </r>
  <r>
    <x v="8"/>
    <x v="2"/>
    <s v="CAP-9830"/>
    <n v="53"/>
    <n v="50"/>
    <n v="3"/>
    <x v="0"/>
    <n v="0.94339622641509435"/>
  </r>
  <r>
    <x v="8"/>
    <x v="3"/>
    <s v="OIN-7543"/>
    <n v="66"/>
    <n v="53"/>
    <n v="13"/>
    <x v="0"/>
    <n v="0.80303030303030298"/>
  </r>
  <r>
    <x v="9"/>
    <x v="0"/>
    <s v="TAB-3266"/>
    <n v="85"/>
    <n v="74"/>
    <n v="11"/>
    <x v="0"/>
    <n v="0.87058823529411766"/>
  </r>
  <r>
    <x v="9"/>
    <x v="1"/>
    <s v="SYR-2489"/>
    <n v="26"/>
    <n v="19"/>
    <n v="7"/>
    <x v="0"/>
    <n v="0.73076923076923073"/>
  </r>
  <r>
    <x v="9"/>
    <x v="2"/>
    <s v="CAP-3504"/>
    <n v="100"/>
    <n v="75"/>
    <n v="25"/>
    <x v="0"/>
    <n v="0.75"/>
  </r>
  <r>
    <x v="9"/>
    <x v="3"/>
    <s v="OIN-7916"/>
    <n v="96"/>
    <n v="69"/>
    <n v="27"/>
    <x v="0"/>
    <n v="0.71875"/>
  </r>
  <r>
    <x v="10"/>
    <x v="0"/>
    <s v="TAB-7304"/>
    <n v="68"/>
    <n v="66"/>
    <n v="2"/>
    <x v="0"/>
    <n v="0.97058823529411764"/>
  </r>
  <r>
    <x v="10"/>
    <x v="1"/>
    <s v="SYR-8668"/>
    <n v="87"/>
    <n v="68"/>
    <n v="19"/>
    <x v="0"/>
    <n v="0.7816091954022989"/>
  </r>
  <r>
    <x v="10"/>
    <x v="2"/>
    <s v="CAP-1188"/>
    <n v="34"/>
    <n v="33"/>
    <n v="1"/>
    <x v="0"/>
    <n v="0.97058823529411764"/>
  </r>
  <r>
    <x v="10"/>
    <x v="3"/>
    <s v="OIN-9797"/>
    <n v="54"/>
    <n v="47"/>
    <n v="7"/>
    <x v="0"/>
    <n v="0.87037037037037035"/>
  </r>
  <r>
    <x v="11"/>
    <x v="0"/>
    <s v="TAB-2827"/>
    <n v="57"/>
    <n v="52"/>
    <n v="5"/>
    <x v="0"/>
    <n v="0.91228070175438591"/>
  </r>
  <r>
    <x v="11"/>
    <x v="1"/>
    <s v="SYR-3591"/>
    <n v="78"/>
    <n v="54"/>
    <n v="24"/>
    <x v="0"/>
    <n v="0.69230769230769229"/>
  </r>
  <r>
    <x v="11"/>
    <x v="2"/>
    <s v="CAP-5315"/>
    <n v="84"/>
    <n v="82"/>
    <n v="2"/>
    <x v="0"/>
    <n v="0.97619047619047616"/>
  </r>
  <r>
    <x v="11"/>
    <x v="3"/>
    <s v="OIN-3927"/>
    <n v="84"/>
    <n v="61"/>
    <n v="23"/>
    <x v="0"/>
    <n v="0.72619047619047616"/>
  </r>
  <r>
    <x v="12"/>
    <x v="0"/>
    <s v="TAB-5889"/>
    <n v="84"/>
    <n v="77"/>
    <n v="7"/>
    <x v="0"/>
    <n v="0.91666666666666663"/>
  </r>
  <r>
    <x v="12"/>
    <x v="1"/>
    <s v="SYR-4258"/>
    <n v="39"/>
    <n v="32"/>
    <n v="7"/>
    <x v="0"/>
    <n v="0.82051282051282048"/>
  </r>
  <r>
    <x v="12"/>
    <x v="2"/>
    <s v="CAP-3646"/>
    <n v="89"/>
    <n v="86"/>
    <n v="3"/>
    <x v="0"/>
    <n v="0.9662921348314607"/>
  </r>
  <r>
    <x v="12"/>
    <x v="3"/>
    <s v="OIN-9689"/>
    <n v="20"/>
    <n v="18"/>
    <n v="2"/>
    <x v="0"/>
    <n v="0.9"/>
  </r>
  <r>
    <x v="13"/>
    <x v="0"/>
    <s v="TAB-6310"/>
    <n v="82"/>
    <n v="57"/>
    <n v="25"/>
    <x v="0"/>
    <n v="0.69512195121951215"/>
  </r>
  <r>
    <x v="13"/>
    <x v="1"/>
    <s v="SYR-2832"/>
    <n v="66"/>
    <n v="55"/>
    <n v="11"/>
    <x v="0"/>
    <n v="0.83333333333333337"/>
  </r>
  <r>
    <x v="13"/>
    <x v="2"/>
    <s v="CAP-4923"/>
    <n v="27"/>
    <n v="21"/>
    <n v="6"/>
    <x v="0"/>
    <n v="0.77777777777777779"/>
  </r>
  <r>
    <x v="13"/>
    <x v="3"/>
    <s v="OIN-2290"/>
    <n v="30"/>
    <n v="28"/>
    <n v="2"/>
    <x v="0"/>
    <n v="0.93333333333333335"/>
  </r>
  <r>
    <x v="14"/>
    <x v="0"/>
    <s v="TAB-2133"/>
    <n v="88"/>
    <n v="85"/>
    <n v="3"/>
    <x v="0"/>
    <n v="0.96590909090909094"/>
  </r>
  <r>
    <x v="14"/>
    <x v="1"/>
    <s v="SYR-3060"/>
    <n v="36"/>
    <n v="35"/>
    <n v="1"/>
    <x v="0"/>
    <n v="0.97222222222222221"/>
  </r>
  <r>
    <x v="14"/>
    <x v="2"/>
    <s v="CAP-8787"/>
    <n v="90"/>
    <n v="67"/>
    <n v="23"/>
    <x v="0"/>
    <n v="0.74444444444444446"/>
  </r>
  <r>
    <x v="14"/>
    <x v="3"/>
    <s v="OIN-5342"/>
    <n v="87"/>
    <n v="87"/>
    <n v="0"/>
    <x v="0"/>
    <n v="1"/>
  </r>
  <r>
    <x v="15"/>
    <x v="0"/>
    <s v="TAB-7932"/>
    <n v="47"/>
    <n v="38"/>
    <n v="9"/>
    <x v="0"/>
    <n v="0.80851063829787229"/>
  </r>
  <r>
    <x v="15"/>
    <x v="1"/>
    <s v="SYR-6107"/>
    <n v="71"/>
    <n v="70"/>
    <n v="1"/>
    <x v="0"/>
    <n v="0.9859154929577465"/>
  </r>
  <r>
    <x v="15"/>
    <x v="2"/>
    <s v="CAP-7118"/>
    <n v="76"/>
    <n v="69"/>
    <n v="7"/>
    <x v="0"/>
    <n v="0.90789473684210531"/>
  </r>
  <r>
    <x v="15"/>
    <x v="3"/>
    <s v="OIN-8397"/>
    <n v="35"/>
    <n v="27"/>
    <n v="8"/>
    <x v="0"/>
    <n v="0.77142857142857146"/>
  </r>
  <r>
    <x v="16"/>
    <x v="0"/>
    <s v="TAB-4681"/>
    <n v="28"/>
    <n v="24"/>
    <n v="4"/>
    <x v="0"/>
    <n v="0.8571428571428571"/>
  </r>
  <r>
    <x v="16"/>
    <x v="1"/>
    <s v="SYR-1344"/>
    <n v="95"/>
    <n v="83"/>
    <n v="12"/>
    <x v="0"/>
    <n v="0.87368421052631584"/>
  </r>
  <r>
    <x v="16"/>
    <x v="2"/>
    <s v="CAP-4770"/>
    <n v="95"/>
    <n v="73"/>
    <n v="22"/>
    <x v="0"/>
    <n v="0.76842105263157889"/>
  </r>
  <r>
    <x v="16"/>
    <x v="3"/>
    <s v="OIN-1117"/>
    <n v="29"/>
    <n v="20"/>
    <n v="9"/>
    <x v="0"/>
    <n v="0.68965517241379315"/>
  </r>
  <r>
    <x v="17"/>
    <x v="0"/>
    <s v="TAB-4750"/>
    <n v="28"/>
    <n v="19"/>
    <n v="9"/>
    <x v="0"/>
    <n v="0.6785714285714286"/>
  </r>
  <r>
    <x v="17"/>
    <x v="1"/>
    <s v="SYR-6413"/>
    <n v="29"/>
    <n v="28"/>
    <n v="1"/>
    <x v="0"/>
    <n v="0.96551724137931039"/>
  </r>
  <r>
    <x v="17"/>
    <x v="2"/>
    <s v="CAP-4899"/>
    <n v="55"/>
    <n v="53"/>
    <n v="2"/>
    <x v="0"/>
    <n v="0.96363636363636362"/>
  </r>
  <r>
    <x v="17"/>
    <x v="3"/>
    <s v="OIN-4510"/>
    <n v="89"/>
    <n v="66"/>
    <n v="23"/>
    <x v="0"/>
    <n v="0.7415730337078652"/>
  </r>
  <r>
    <x v="18"/>
    <x v="0"/>
    <s v="TAB-8744"/>
    <n v="51"/>
    <n v="50"/>
    <n v="1"/>
    <x v="0"/>
    <n v="0.98039215686274506"/>
  </r>
  <r>
    <x v="18"/>
    <x v="1"/>
    <s v="SYR-7669"/>
    <n v="44"/>
    <n v="31"/>
    <n v="13"/>
    <x v="0"/>
    <n v="0.70454545454545459"/>
  </r>
  <r>
    <x v="18"/>
    <x v="2"/>
    <s v="CAP-2588"/>
    <n v="75"/>
    <n v="63"/>
    <n v="12"/>
    <x v="0"/>
    <n v="0.84"/>
  </r>
  <r>
    <x v="18"/>
    <x v="3"/>
    <s v="OIN-7939"/>
    <n v="72"/>
    <n v="64"/>
    <n v="8"/>
    <x v="0"/>
    <n v="0.88888888888888884"/>
  </r>
  <r>
    <x v="19"/>
    <x v="0"/>
    <s v="TAB-1887"/>
    <n v="32"/>
    <n v="22"/>
    <n v="10"/>
    <x v="0"/>
    <n v="0.6875"/>
  </r>
  <r>
    <x v="19"/>
    <x v="1"/>
    <s v="SYR-7596"/>
    <n v="63"/>
    <n v="47"/>
    <n v="16"/>
    <x v="0"/>
    <n v="0.74603174603174605"/>
  </r>
  <r>
    <x v="19"/>
    <x v="2"/>
    <s v="CAP-5073"/>
    <n v="44"/>
    <n v="33"/>
    <n v="11"/>
    <x v="0"/>
    <n v="0.75"/>
  </r>
  <r>
    <x v="19"/>
    <x v="3"/>
    <s v="OIN-9786"/>
    <n v="77"/>
    <n v="57"/>
    <n v="20"/>
    <x v="0"/>
    <n v="0.74025974025974028"/>
  </r>
  <r>
    <x v="20"/>
    <x v="0"/>
    <s v="TAB-7912"/>
    <n v="43"/>
    <n v="34"/>
    <n v="9"/>
    <x v="0"/>
    <n v="0.79069767441860461"/>
  </r>
  <r>
    <x v="20"/>
    <x v="1"/>
    <s v="SYR-8579"/>
    <n v="51"/>
    <n v="37"/>
    <n v="14"/>
    <x v="0"/>
    <n v="0.72549019607843135"/>
  </r>
  <r>
    <x v="20"/>
    <x v="2"/>
    <s v="CAP-8260"/>
    <n v="90"/>
    <n v="65"/>
    <n v="25"/>
    <x v="0"/>
    <n v="0.72222222222222221"/>
  </r>
  <r>
    <x v="20"/>
    <x v="3"/>
    <s v="OIN-1828"/>
    <n v="89"/>
    <n v="88"/>
    <n v="1"/>
    <x v="0"/>
    <n v="0.9887640449438202"/>
  </r>
  <r>
    <x v="21"/>
    <x v="0"/>
    <s v="TAB-1241"/>
    <n v="31"/>
    <n v="24"/>
    <n v="7"/>
    <x v="0"/>
    <n v="0.77419354838709675"/>
  </r>
  <r>
    <x v="21"/>
    <x v="1"/>
    <s v="SYR-3724"/>
    <n v="72"/>
    <n v="65"/>
    <n v="7"/>
    <x v="0"/>
    <n v="0.90277777777777779"/>
  </r>
  <r>
    <x v="21"/>
    <x v="2"/>
    <s v="CAP-8886"/>
    <n v="47"/>
    <n v="44"/>
    <n v="3"/>
    <x v="0"/>
    <n v="0.93617021276595747"/>
  </r>
  <r>
    <x v="21"/>
    <x v="3"/>
    <s v="OIN-1960"/>
    <n v="41"/>
    <n v="34"/>
    <n v="7"/>
    <x v="0"/>
    <n v="0.82926829268292679"/>
  </r>
  <r>
    <x v="22"/>
    <x v="0"/>
    <s v="TAB-1035"/>
    <n v="69"/>
    <n v="56"/>
    <n v="13"/>
    <x v="0"/>
    <n v="0.81159420289855078"/>
  </r>
  <r>
    <x v="22"/>
    <x v="1"/>
    <s v="SYR-8454"/>
    <n v="56"/>
    <n v="52"/>
    <n v="4"/>
    <x v="0"/>
    <n v="0.9285714285714286"/>
  </r>
  <r>
    <x v="22"/>
    <x v="2"/>
    <s v="CAP-8973"/>
    <n v="39"/>
    <n v="30"/>
    <n v="9"/>
    <x v="0"/>
    <n v="0.76923076923076927"/>
  </r>
  <r>
    <x v="22"/>
    <x v="3"/>
    <s v="OIN-5861"/>
    <n v="47"/>
    <n v="33"/>
    <n v="14"/>
    <x v="0"/>
    <n v="0.7021276595744681"/>
  </r>
  <r>
    <x v="23"/>
    <x v="0"/>
    <s v="TAB-9883"/>
    <n v="27"/>
    <n v="23"/>
    <n v="4"/>
    <x v="0"/>
    <n v="0.85185185185185186"/>
  </r>
  <r>
    <x v="23"/>
    <x v="1"/>
    <s v="SYR-1936"/>
    <n v="26"/>
    <n v="25"/>
    <n v="1"/>
    <x v="0"/>
    <n v="0.96153846153846156"/>
  </r>
  <r>
    <x v="23"/>
    <x v="2"/>
    <s v="CAP-9238"/>
    <n v="87"/>
    <n v="65"/>
    <n v="22"/>
    <x v="0"/>
    <n v="0.74712643678160917"/>
  </r>
  <r>
    <x v="23"/>
    <x v="3"/>
    <s v="OIN-1931"/>
    <n v="85"/>
    <n v="61"/>
    <n v="24"/>
    <x v="0"/>
    <n v="0.71764705882352942"/>
  </r>
  <r>
    <x v="24"/>
    <x v="0"/>
    <s v="TAB-4044"/>
    <n v="28"/>
    <n v="28"/>
    <n v="0"/>
    <x v="0"/>
    <n v="1"/>
  </r>
  <r>
    <x v="24"/>
    <x v="1"/>
    <s v="SYR-2113"/>
    <n v="50"/>
    <n v="47"/>
    <n v="3"/>
    <x v="0"/>
    <n v="0.94"/>
  </r>
  <r>
    <x v="24"/>
    <x v="2"/>
    <s v="CAP-2964"/>
    <n v="92"/>
    <n v="71"/>
    <n v="21"/>
    <x v="0"/>
    <n v="0.77173913043478259"/>
  </r>
  <r>
    <x v="24"/>
    <x v="3"/>
    <s v="OIN-1651"/>
    <n v="99"/>
    <n v="71"/>
    <n v="28"/>
    <x v="0"/>
    <n v="0.71717171717171713"/>
  </r>
  <r>
    <x v="25"/>
    <x v="0"/>
    <s v="TAB-7868"/>
    <n v="94"/>
    <n v="83"/>
    <n v="11"/>
    <x v="0"/>
    <n v="0.88297872340425532"/>
  </r>
  <r>
    <x v="25"/>
    <x v="1"/>
    <s v="SYR-9565"/>
    <n v="60"/>
    <n v="50"/>
    <n v="10"/>
    <x v="0"/>
    <n v="0.83333333333333337"/>
  </r>
  <r>
    <x v="25"/>
    <x v="2"/>
    <s v="CAP-4346"/>
    <n v="60"/>
    <n v="49"/>
    <n v="11"/>
    <x v="0"/>
    <n v="0.81666666666666665"/>
  </r>
  <r>
    <x v="25"/>
    <x v="3"/>
    <s v="OIN-5351"/>
    <n v="70"/>
    <n v="53"/>
    <n v="17"/>
    <x v="0"/>
    <n v="0.75714285714285712"/>
  </r>
  <r>
    <x v="26"/>
    <x v="0"/>
    <s v="TAB-5915"/>
    <n v="78"/>
    <n v="64"/>
    <n v="14"/>
    <x v="0"/>
    <n v="0.82051282051282048"/>
  </r>
  <r>
    <x v="26"/>
    <x v="1"/>
    <s v="SYR-2188"/>
    <n v="21"/>
    <n v="21"/>
    <n v="0"/>
    <x v="0"/>
    <n v="1"/>
  </r>
  <r>
    <x v="26"/>
    <x v="2"/>
    <s v="CAP-2638"/>
    <n v="29"/>
    <n v="28"/>
    <n v="1"/>
    <x v="0"/>
    <n v="0.96551724137931039"/>
  </r>
  <r>
    <x v="26"/>
    <x v="3"/>
    <s v="OIN-4492"/>
    <n v="84"/>
    <n v="66"/>
    <n v="18"/>
    <x v="0"/>
    <n v="0.7857142857142857"/>
  </r>
  <r>
    <x v="27"/>
    <x v="0"/>
    <s v="TAB-3170"/>
    <n v="64"/>
    <n v="46"/>
    <n v="18"/>
    <x v="0"/>
    <n v="0.71875"/>
  </r>
  <r>
    <x v="27"/>
    <x v="1"/>
    <s v="SYR-5002"/>
    <n v="67"/>
    <n v="55"/>
    <n v="12"/>
    <x v="0"/>
    <n v="0.82089552238805974"/>
  </r>
  <r>
    <x v="27"/>
    <x v="2"/>
    <s v="CAP-3584"/>
    <n v="76"/>
    <n v="70"/>
    <n v="6"/>
    <x v="0"/>
    <n v="0.92105263157894735"/>
  </r>
  <r>
    <x v="27"/>
    <x v="3"/>
    <s v="OIN-5956"/>
    <n v="98"/>
    <n v="93"/>
    <n v="5"/>
    <x v="0"/>
    <n v="0.94897959183673475"/>
  </r>
  <r>
    <x v="28"/>
    <x v="0"/>
    <s v="TAB-9666"/>
    <n v="21"/>
    <n v="18"/>
    <n v="3"/>
    <x v="0"/>
    <n v="0.8571428571428571"/>
  </r>
  <r>
    <x v="28"/>
    <x v="1"/>
    <s v="SYR-2697"/>
    <n v="37"/>
    <n v="29"/>
    <n v="8"/>
    <x v="0"/>
    <n v="0.78378378378378377"/>
  </r>
  <r>
    <x v="28"/>
    <x v="2"/>
    <s v="CAP-2891"/>
    <n v="33"/>
    <n v="31"/>
    <n v="2"/>
    <x v="0"/>
    <n v="0.93939393939393945"/>
  </r>
  <r>
    <x v="28"/>
    <x v="3"/>
    <s v="OIN-3546"/>
    <n v="54"/>
    <n v="46"/>
    <n v="8"/>
    <x v="0"/>
    <n v="0.85185185185185186"/>
  </r>
  <r>
    <x v="29"/>
    <x v="0"/>
    <s v="TAB-4450"/>
    <n v="63"/>
    <n v="50"/>
    <n v="13"/>
    <x v="0"/>
    <n v="0.79365079365079361"/>
  </r>
  <r>
    <x v="29"/>
    <x v="1"/>
    <s v="SYR-5325"/>
    <n v="84"/>
    <n v="73"/>
    <n v="11"/>
    <x v="0"/>
    <n v="0.86904761904761907"/>
  </r>
  <r>
    <x v="29"/>
    <x v="2"/>
    <s v="CAP-5114"/>
    <n v="26"/>
    <n v="19"/>
    <n v="7"/>
    <x v="0"/>
    <n v="0.73076923076923073"/>
  </r>
  <r>
    <x v="29"/>
    <x v="3"/>
    <s v="OIN-7939"/>
    <n v="55"/>
    <n v="39"/>
    <n v="16"/>
    <x v="0"/>
    <n v="0.70909090909090911"/>
  </r>
  <r>
    <x v="30"/>
    <x v="0"/>
    <s v="TAB-1058"/>
    <n v="62"/>
    <n v="47"/>
    <n v="15"/>
    <x v="0"/>
    <n v="0.75806451612903225"/>
  </r>
  <r>
    <x v="30"/>
    <x v="1"/>
    <s v="SYR-5291"/>
    <n v="40"/>
    <n v="39"/>
    <n v="1"/>
    <x v="0"/>
    <n v="0.97499999999999998"/>
  </r>
  <r>
    <x v="30"/>
    <x v="2"/>
    <s v="CAP-8239"/>
    <n v="90"/>
    <n v="84"/>
    <n v="6"/>
    <x v="0"/>
    <n v="0.93333333333333335"/>
  </r>
  <r>
    <x v="30"/>
    <x v="3"/>
    <s v="OIN-8007"/>
    <n v="91"/>
    <n v="63"/>
    <n v="28"/>
    <x v="0"/>
    <n v="0.69230769230769229"/>
  </r>
  <r>
    <x v="31"/>
    <x v="0"/>
    <s v="TAB-2832"/>
    <n v="29"/>
    <n v="22"/>
    <n v="7"/>
    <x v="1"/>
    <n v="0.75862068965517238"/>
  </r>
  <r>
    <x v="31"/>
    <x v="1"/>
    <s v="SYR-9938"/>
    <n v="24"/>
    <n v="21"/>
    <n v="3"/>
    <x v="1"/>
    <n v="0.875"/>
  </r>
  <r>
    <x v="31"/>
    <x v="2"/>
    <s v="CAP-3426"/>
    <n v="75"/>
    <n v="56"/>
    <n v="19"/>
    <x v="1"/>
    <n v="0.7466666666666667"/>
  </r>
  <r>
    <x v="31"/>
    <x v="3"/>
    <s v="OIN-1685"/>
    <n v="59"/>
    <n v="52"/>
    <n v="7"/>
    <x v="1"/>
    <n v="0.88135593220338981"/>
  </r>
  <r>
    <x v="32"/>
    <x v="0"/>
    <s v="TAB-1653"/>
    <n v="65"/>
    <n v="51"/>
    <n v="14"/>
    <x v="1"/>
    <n v="0.7846153846153846"/>
  </r>
  <r>
    <x v="32"/>
    <x v="1"/>
    <s v="SYR-5088"/>
    <n v="33"/>
    <n v="28"/>
    <n v="5"/>
    <x v="1"/>
    <n v="0.84848484848484851"/>
  </r>
  <r>
    <x v="32"/>
    <x v="2"/>
    <s v="CAP-7658"/>
    <n v="99"/>
    <n v="92"/>
    <n v="7"/>
    <x v="1"/>
    <n v="0.92929292929292928"/>
  </r>
  <r>
    <x v="32"/>
    <x v="3"/>
    <s v="OIN-3532"/>
    <n v="50"/>
    <n v="40"/>
    <n v="10"/>
    <x v="1"/>
    <n v="0.8"/>
  </r>
  <r>
    <x v="33"/>
    <x v="0"/>
    <s v="TAB-3900"/>
    <n v="72"/>
    <n v="50"/>
    <n v="22"/>
    <x v="1"/>
    <n v="0.69444444444444442"/>
  </r>
  <r>
    <x v="33"/>
    <x v="1"/>
    <s v="SYR-3938"/>
    <n v="62"/>
    <n v="56"/>
    <n v="6"/>
    <x v="1"/>
    <n v="0.90322580645161288"/>
  </r>
  <r>
    <x v="33"/>
    <x v="2"/>
    <s v="CAP-5065"/>
    <n v="54"/>
    <n v="42"/>
    <n v="12"/>
    <x v="1"/>
    <n v="0.77777777777777779"/>
  </r>
  <r>
    <x v="33"/>
    <x v="3"/>
    <s v="OIN-2771"/>
    <n v="68"/>
    <n v="48"/>
    <n v="20"/>
    <x v="1"/>
    <n v="0.70588235294117652"/>
  </r>
  <r>
    <x v="34"/>
    <x v="0"/>
    <s v="TAB-8711"/>
    <n v="48"/>
    <n v="39"/>
    <n v="9"/>
    <x v="1"/>
    <n v="0.8125"/>
  </r>
  <r>
    <x v="34"/>
    <x v="1"/>
    <s v="SYR-8541"/>
    <n v="64"/>
    <n v="53"/>
    <n v="11"/>
    <x v="1"/>
    <n v="0.828125"/>
  </r>
  <r>
    <x v="34"/>
    <x v="2"/>
    <s v="CAP-4728"/>
    <n v="48"/>
    <n v="33"/>
    <n v="15"/>
    <x v="1"/>
    <n v="0.6875"/>
  </r>
  <r>
    <x v="34"/>
    <x v="3"/>
    <s v="OIN-4164"/>
    <n v="71"/>
    <n v="59"/>
    <n v="12"/>
    <x v="1"/>
    <n v="0.83098591549295775"/>
  </r>
  <r>
    <x v="35"/>
    <x v="0"/>
    <s v="TAB-5564"/>
    <n v="28"/>
    <n v="23"/>
    <n v="5"/>
    <x v="1"/>
    <n v="0.8214285714285714"/>
  </r>
  <r>
    <x v="35"/>
    <x v="1"/>
    <s v="SYR-6753"/>
    <n v="85"/>
    <n v="71"/>
    <n v="14"/>
    <x v="1"/>
    <n v="0.83529411764705885"/>
  </r>
  <r>
    <x v="35"/>
    <x v="2"/>
    <s v="CAP-9785"/>
    <n v="62"/>
    <n v="43"/>
    <n v="19"/>
    <x v="1"/>
    <n v="0.69354838709677424"/>
  </r>
  <r>
    <x v="35"/>
    <x v="3"/>
    <s v="OIN-2889"/>
    <n v="53"/>
    <n v="42"/>
    <n v="11"/>
    <x v="1"/>
    <n v="0.79245283018867929"/>
  </r>
  <r>
    <x v="36"/>
    <x v="0"/>
    <s v="TAB-5349"/>
    <n v="24"/>
    <n v="17"/>
    <n v="7"/>
    <x v="1"/>
    <n v="0.70833333333333337"/>
  </r>
  <r>
    <x v="36"/>
    <x v="1"/>
    <s v="SYR-8119"/>
    <n v="64"/>
    <n v="54"/>
    <n v="10"/>
    <x v="1"/>
    <n v="0.84375"/>
  </r>
  <r>
    <x v="36"/>
    <x v="2"/>
    <s v="CAP-8149"/>
    <n v="97"/>
    <n v="83"/>
    <n v="14"/>
    <x v="1"/>
    <n v="0.85567010309278346"/>
  </r>
  <r>
    <x v="36"/>
    <x v="3"/>
    <s v="OIN-2894"/>
    <n v="69"/>
    <n v="66"/>
    <n v="3"/>
    <x v="1"/>
    <n v="0.95652173913043481"/>
  </r>
  <r>
    <x v="37"/>
    <x v="0"/>
    <s v="TAB-4114"/>
    <n v="52"/>
    <n v="37"/>
    <n v="15"/>
    <x v="1"/>
    <n v="0.71153846153846156"/>
  </r>
  <r>
    <x v="37"/>
    <x v="1"/>
    <s v="SYR-8144"/>
    <n v="20"/>
    <n v="18"/>
    <n v="2"/>
    <x v="1"/>
    <n v="0.9"/>
  </r>
  <r>
    <x v="37"/>
    <x v="2"/>
    <s v="CAP-9821"/>
    <n v="45"/>
    <n v="36"/>
    <n v="9"/>
    <x v="1"/>
    <n v="0.8"/>
  </r>
  <r>
    <x v="37"/>
    <x v="3"/>
    <s v="OIN-8066"/>
    <n v="28"/>
    <n v="24"/>
    <n v="4"/>
    <x v="1"/>
    <n v="0.8571428571428571"/>
  </r>
  <r>
    <x v="38"/>
    <x v="0"/>
    <s v="TAB-6143"/>
    <n v="35"/>
    <n v="35"/>
    <n v="0"/>
    <x v="1"/>
    <n v="1"/>
  </r>
  <r>
    <x v="38"/>
    <x v="1"/>
    <s v="SYR-5920"/>
    <n v="84"/>
    <n v="67"/>
    <n v="17"/>
    <x v="1"/>
    <n v="0.79761904761904767"/>
  </r>
  <r>
    <x v="38"/>
    <x v="2"/>
    <s v="CAP-7691"/>
    <n v="61"/>
    <n v="54"/>
    <n v="7"/>
    <x v="1"/>
    <n v="0.88524590163934425"/>
  </r>
  <r>
    <x v="38"/>
    <x v="3"/>
    <s v="OIN-5844"/>
    <n v="90"/>
    <n v="66"/>
    <n v="24"/>
    <x v="1"/>
    <n v="0.73333333333333328"/>
  </r>
  <r>
    <x v="39"/>
    <x v="0"/>
    <s v="TAB-4143"/>
    <n v="73"/>
    <n v="72"/>
    <n v="1"/>
    <x v="1"/>
    <n v="0.98630136986301364"/>
  </r>
  <r>
    <x v="39"/>
    <x v="1"/>
    <s v="SYR-7211"/>
    <n v="42"/>
    <n v="38"/>
    <n v="4"/>
    <x v="1"/>
    <n v="0.90476190476190477"/>
  </r>
  <r>
    <x v="39"/>
    <x v="2"/>
    <s v="CAP-5930"/>
    <n v="71"/>
    <n v="66"/>
    <n v="5"/>
    <x v="1"/>
    <n v="0.92957746478873238"/>
  </r>
  <r>
    <x v="39"/>
    <x v="3"/>
    <s v="OIN-1006"/>
    <n v="58"/>
    <n v="49"/>
    <n v="9"/>
    <x v="1"/>
    <n v="0.84482758620689657"/>
  </r>
  <r>
    <x v="40"/>
    <x v="0"/>
    <s v="TAB-4443"/>
    <n v="75"/>
    <n v="70"/>
    <n v="5"/>
    <x v="1"/>
    <n v="0.93333333333333335"/>
  </r>
  <r>
    <x v="40"/>
    <x v="1"/>
    <s v="SYR-6279"/>
    <n v="79"/>
    <n v="69"/>
    <n v="10"/>
    <x v="1"/>
    <n v="0.87341772151898733"/>
  </r>
  <r>
    <x v="40"/>
    <x v="2"/>
    <s v="CAP-8244"/>
    <n v="47"/>
    <n v="47"/>
    <n v="0"/>
    <x v="1"/>
    <n v="1"/>
  </r>
  <r>
    <x v="40"/>
    <x v="3"/>
    <s v="OIN-3780"/>
    <n v="30"/>
    <n v="25"/>
    <n v="5"/>
    <x v="1"/>
    <n v="0.83333333333333337"/>
  </r>
  <r>
    <x v="41"/>
    <x v="0"/>
    <s v="TAB-9445"/>
    <n v="99"/>
    <n v="79"/>
    <n v="20"/>
    <x v="1"/>
    <n v="0.79797979797979801"/>
  </r>
  <r>
    <x v="41"/>
    <x v="1"/>
    <s v="SYR-2530"/>
    <n v="50"/>
    <n v="44"/>
    <n v="6"/>
    <x v="1"/>
    <n v="0.88"/>
  </r>
  <r>
    <x v="41"/>
    <x v="2"/>
    <s v="CAP-4680"/>
    <n v="45"/>
    <n v="33"/>
    <n v="12"/>
    <x v="1"/>
    <n v="0.73333333333333328"/>
  </r>
  <r>
    <x v="41"/>
    <x v="3"/>
    <s v="OIN-1400"/>
    <n v="25"/>
    <n v="20"/>
    <n v="5"/>
    <x v="1"/>
    <n v="0.8"/>
  </r>
  <r>
    <x v="42"/>
    <x v="0"/>
    <s v="TAB-8784"/>
    <n v="98"/>
    <n v="95"/>
    <n v="3"/>
    <x v="1"/>
    <n v="0.96938775510204078"/>
  </r>
  <r>
    <x v="42"/>
    <x v="1"/>
    <s v="SYR-2193"/>
    <n v="78"/>
    <n v="67"/>
    <n v="11"/>
    <x v="1"/>
    <n v="0.85897435897435892"/>
  </r>
  <r>
    <x v="42"/>
    <x v="2"/>
    <s v="CAP-4185"/>
    <n v="69"/>
    <n v="63"/>
    <n v="6"/>
    <x v="1"/>
    <n v="0.91304347826086951"/>
  </r>
  <r>
    <x v="42"/>
    <x v="3"/>
    <s v="OIN-7547"/>
    <n v="51"/>
    <n v="39"/>
    <n v="12"/>
    <x v="1"/>
    <n v="0.76470588235294112"/>
  </r>
  <r>
    <x v="43"/>
    <x v="0"/>
    <s v="TAB-1090"/>
    <n v="33"/>
    <n v="29"/>
    <n v="4"/>
    <x v="1"/>
    <n v="0.87878787878787878"/>
  </r>
  <r>
    <x v="43"/>
    <x v="1"/>
    <s v="SYR-4585"/>
    <n v="42"/>
    <n v="41"/>
    <n v="1"/>
    <x v="1"/>
    <n v="0.97619047619047616"/>
  </r>
  <r>
    <x v="43"/>
    <x v="2"/>
    <s v="CAP-9486"/>
    <n v="79"/>
    <n v="56"/>
    <n v="23"/>
    <x v="1"/>
    <n v="0.70886075949367089"/>
  </r>
  <r>
    <x v="43"/>
    <x v="3"/>
    <s v="OIN-5082"/>
    <n v="35"/>
    <n v="31"/>
    <n v="4"/>
    <x v="1"/>
    <n v="0.88571428571428568"/>
  </r>
  <r>
    <x v="44"/>
    <x v="0"/>
    <s v="TAB-3184"/>
    <n v="79"/>
    <n v="76"/>
    <n v="3"/>
    <x v="1"/>
    <n v="0.96202531645569622"/>
  </r>
  <r>
    <x v="44"/>
    <x v="1"/>
    <s v="SYR-9702"/>
    <n v="91"/>
    <n v="82"/>
    <n v="9"/>
    <x v="1"/>
    <n v="0.90109890109890112"/>
  </r>
  <r>
    <x v="44"/>
    <x v="2"/>
    <s v="CAP-6198"/>
    <n v="76"/>
    <n v="72"/>
    <n v="4"/>
    <x v="1"/>
    <n v="0.94736842105263153"/>
  </r>
  <r>
    <x v="44"/>
    <x v="3"/>
    <s v="OIN-9270"/>
    <n v="74"/>
    <n v="68"/>
    <n v="6"/>
    <x v="1"/>
    <n v="0.91891891891891897"/>
  </r>
  <r>
    <x v="45"/>
    <x v="0"/>
    <s v="TAB-8305"/>
    <n v="40"/>
    <n v="39"/>
    <n v="1"/>
    <x v="1"/>
    <n v="0.97499999999999998"/>
  </r>
  <r>
    <x v="45"/>
    <x v="1"/>
    <s v="SYR-8777"/>
    <n v="77"/>
    <n v="61"/>
    <n v="16"/>
    <x v="1"/>
    <n v="0.79220779220779225"/>
  </r>
  <r>
    <x v="45"/>
    <x v="2"/>
    <s v="CAP-5050"/>
    <n v="55"/>
    <n v="54"/>
    <n v="1"/>
    <x v="1"/>
    <n v="0.98181818181818181"/>
  </r>
  <r>
    <x v="45"/>
    <x v="3"/>
    <s v="OIN-8939"/>
    <n v="100"/>
    <n v="77"/>
    <n v="23"/>
    <x v="1"/>
    <n v="0.77"/>
  </r>
  <r>
    <x v="46"/>
    <x v="0"/>
    <s v="TAB-5499"/>
    <n v="76"/>
    <n v="55"/>
    <n v="21"/>
    <x v="1"/>
    <n v="0.72368421052631582"/>
  </r>
  <r>
    <x v="46"/>
    <x v="1"/>
    <s v="SYR-5681"/>
    <n v="50"/>
    <n v="43"/>
    <n v="7"/>
    <x v="1"/>
    <n v="0.86"/>
  </r>
  <r>
    <x v="46"/>
    <x v="2"/>
    <s v="CAP-6502"/>
    <n v="60"/>
    <n v="59"/>
    <n v="1"/>
    <x v="1"/>
    <n v="0.98333333333333328"/>
  </r>
  <r>
    <x v="46"/>
    <x v="3"/>
    <s v="OIN-2320"/>
    <n v="37"/>
    <n v="27"/>
    <n v="10"/>
    <x v="1"/>
    <n v="0.72972972972972971"/>
  </r>
  <r>
    <x v="47"/>
    <x v="0"/>
    <s v="TAB-4788"/>
    <n v="69"/>
    <n v="52"/>
    <n v="17"/>
    <x v="1"/>
    <n v="0.75362318840579712"/>
  </r>
  <r>
    <x v="47"/>
    <x v="1"/>
    <s v="SYR-4505"/>
    <n v="28"/>
    <n v="25"/>
    <n v="3"/>
    <x v="1"/>
    <n v="0.8928571428571429"/>
  </r>
  <r>
    <x v="47"/>
    <x v="2"/>
    <s v="CAP-7678"/>
    <n v="62"/>
    <n v="60"/>
    <n v="2"/>
    <x v="1"/>
    <n v="0.967741935483871"/>
  </r>
  <r>
    <x v="47"/>
    <x v="3"/>
    <s v="OIN-8633"/>
    <n v="73"/>
    <n v="52"/>
    <n v="21"/>
    <x v="1"/>
    <n v="0.71232876712328763"/>
  </r>
  <r>
    <x v="48"/>
    <x v="0"/>
    <s v="TAB-4388"/>
    <n v="73"/>
    <n v="63"/>
    <n v="10"/>
    <x v="1"/>
    <n v="0.86301369863013699"/>
  </r>
  <r>
    <x v="48"/>
    <x v="1"/>
    <s v="SYR-1320"/>
    <n v="93"/>
    <n v="77"/>
    <n v="16"/>
    <x v="1"/>
    <n v="0.82795698924731187"/>
  </r>
  <r>
    <x v="48"/>
    <x v="2"/>
    <s v="CAP-8814"/>
    <n v="20"/>
    <n v="16"/>
    <n v="4"/>
    <x v="1"/>
    <n v="0.8"/>
  </r>
  <r>
    <x v="48"/>
    <x v="3"/>
    <s v="OIN-5892"/>
    <n v="69"/>
    <n v="61"/>
    <n v="8"/>
    <x v="1"/>
    <n v="0.88405797101449279"/>
  </r>
  <r>
    <x v="49"/>
    <x v="0"/>
    <s v="TAB-9818"/>
    <n v="89"/>
    <n v="87"/>
    <n v="2"/>
    <x v="1"/>
    <n v="0.97752808988764039"/>
  </r>
  <r>
    <x v="49"/>
    <x v="1"/>
    <s v="SYR-4613"/>
    <n v="82"/>
    <n v="64"/>
    <n v="18"/>
    <x v="1"/>
    <n v="0.78048780487804881"/>
  </r>
  <r>
    <x v="49"/>
    <x v="2"/>
    <s v="CAP-5471"/>
    <n v="75"/>
    <n v="67"/>
    <n v="8"/>
    <x v="1"/>
    <n v="0.89333333333333331"/>
  </r>
  <r>
    <x v="49"/>
    <x v="3"/>
    <s v="OIN-1475"/>
    <n v="69"/>
    <n v="58"/>
    <n v="11"/>
    <x v="1"/>
    <n v="0.84057971014492749"/>
  </r>
  <r>
    <x v="50"/>
    <x v="0"/>
    <s v="TAB-7624"/>
    <n v="41"/>
    <n v="41"/>
    <n v="0"/>
    <x v="1"/>
    <n v="1"/>
  </r>
  <r>
    <x v="50"/>
    <x v="1"/>
    <s v="SYR-8657"/>
    <n v="36"/>
    <n v="34"/>
    <n v="2"/>
    <x v="1"/>
    <n v="0.94444444444444442"/>
  </r>
  <r>
    <x v="50"/>
    <x v="2"/>
    <s v="CAP-9751"/>
    <n v="23"/>
    <n v="22"/>
    <n v="1"/>
    <x v="1"/>
    <n v="0.95652173913043481"/>
  </r>
  <r>
    <x v="50"/>
    <x v="3"/>
    <s v="OIN-1444"/>
    <n v="30"/>
    <n v="27"/>
    <n v="3"/>
    <x v="1"/>
    <n v="0.9"/>
  </r>
  <r>
    <x v="51"/>
    <x v="0"/>
    <s v="TAB-3223"/>
    <n v="79"/>
    <n v="60"/>
    <n v="19"/>
    <x v="1"/>
    <n v="0.759493670886076"/>
  </r>
  <r>
    <x v="51"/>
    <x v="1"/>
    <s v="SYR-1823"/>
    <n v="53"/>
    <n v="49"/>
    <n v="4"/>
    <x v="1"/>
    <n v="0.92452830188679247"/>
  </r>
  <r>
    <x v="51"/>
    <x v="2"/>
    <s v="CAP-6363"/>
    <n v="47"/>
    <n v="46"/>
    <n v="1"/>
    <x v="1"/>
    <n v="0.97872340425531912"/>
  </r>
  <r>
    <x v="51"/>
    <x v="3"/>
    <s v="OIN-6355"/>
    <n v="63"/>
    <n v="56"/>
    <n v="7"/>
    <x v="1"/>
    <n v="0.88888888888888884"/>
  </r>
  <r>
    <x v="52"/>
    <x v="0"/>
    <s v="TAB-5558"/>
    <n v="73"/>
    <n v="59"/>
    <n v="14"/>
    <x v="1"/>
    <n v="0.80821917808219179"/>
  </r>
  <r>
    <x v="52"/>
    <x v="1"/>
    <s v="SYR-2341"/>
    <n v="80"/>
    <n v="56"/>
    <n v="24"/>
    <x v="1"/>
    <n v="0.7"/>
  </r>
  <r>
    <x v="52"/>
    <x v="2"/>
    <s v="CAP-9837"/>
    <n v="26"/>
    <n v="23"/>
    <n v="3"/>
    <x v="1"/>
    <n v="0.88461538461538458"/>
  </r>
  <r>
    <x v="52"/>
    <x v="3"/>
    <s v="OIN-4673"/>
    <n v="28"/>
    <n v="19"/>
    <n v="9"/>
    <x v="1"/>
    <n v="0.6785714285714286"/>
  </r>
  <r>
    <x v="53"/>
    <x v="0"/>
    <s v="TAB-1508"/>
    <n v="51"/>
    <n v="41"/>
    <n v="10"/>
    <x v="1"/>
    <n v="0.80392156862745101"/>
  </r>
  <r>
    <x v="53"/>
    <x v="1"/>
    <s v="SYR-1333"/>
    <n v="99"/>
    <n v="73"/>
    <n v="26"/>
    <x v="1"/>
    <n v="0.73737373737373735"/>
  </r>
  <r>
    <x v="53"/>
    <x v="2"/>
    <s v="CAP-4908"/>
    <n v="36"/>
    <n v="32"/>
    <n v="4"/>
    <x v="1"/>
    <n v="0.88888888888888884"/>
  </r>
  <r>
    <x v="53"/>
    <x v="3"/>
    <s v="OIN-2874"/>
    <n v="92"/>
    <n v="70"/>
    <n v="22"/>
    <x v="1"/>
    <n v="0.76086956521739135"/>
  </r>
  <r>
    <x v="54"/>
    <x v="0"/>
    <s v="TAB-8619"/>
    <n v="52"/>
    <n v="47"/>
    <n v="5"/>
    <x v="1"/>
    <n v="0.90384615384615385"/>
  </r>
  <r>
    <x v="54"/>
    <x v="1"/>
    <s v="SYR-3749"/>
    <n v="97"/>
    <n v="86"/>
    <n v="11"/>
    <x v="1"/>
    <n v="0.88659793814432986"/>
  </r>
  <r>
    <x v="54"/>
    <x v="2"/>
    <s v="CAP-2876"/>
    <n v="40"/>
    <n v="32"/>
    <n v="8"/>
    <x v="1"/>
    <n v="0.8"/>
  </r>
  <r>
    <x v="54"/>
    <x v="3"/>
    <s v="OIN-2771"/>
    <n v="94"/>
    <n v="65"/>
    <n v="29"/>
    <x v="1"/>
    <n v="0.69148936170212771"/>
  </r>
  <r>
    <x v="55"/>
    <x v="0"/>
    <s v="TAB-6111"/>
    <n v="93"/>
    <n v="86"/>
    <n v="7"/>
    <x v="1"/>
    <n v="0.92473118279569888"/>
  </r>
  <r>
    <x v="55"/>
    <x v="1"/>
    <s v="SYR-7149"/>
    <n v="70"/>
    <n v="55"/>
    <n v="15"/>
    <x v="1"/>
    <n v="0.7857142857142857"/>
  </r>
  <r>
    <x v="55"/>
    <x v="2"/>
    <s v="CAP-2245"/>
    <n v="95"/>
    <n v="88"/>
    <n v="7"/>
    <x v="1"/>
    <n v="0.9263157894736842"/>
  </r>
  <r>
    <x v="55"/>
    <x v="3"/>
    <s v="OIN-4978"/>
    <n v="33"/>
    <n v="27"/>
    <n v="6"/>
    <x v="1"/>
    <n v="0.81818181818181823"/>
  </r>
  <r>
    <x v="56"/>
    <x v="0"/>
    <s v="TAB-2983"/>
    <n v="92"/>
    <n v="89"/>
    <n v="3"/>
    <x v="1"/>
    <n v="0.96739130434782605"/>
  </r>
  <r>
    <x v="56"/>
    <x v="1"/>
    <s v="SYR-1672"/>
    <n v="64"/>
    <n v="61"/>
    <n v="3"/>
    <x v="1"/>
    <n v="0.953125"/>
  </r>
  <r>
    <x v="56"/>
    <x v="2"/>
    <s v="CAP-8018"/>
    <n v="67"/>
    <n v="48"/>
    <n v="19"/>
    <x v="1"/>
    <n v="0.71641791044776115"/>
  </r>
  <r>
    <x v="56"/>
    <x v="3"/>
    <s v="OIN-9289"/>
    <n v="63"/>
    <n v="44"/>
    <n v="19"/>
    <x v="1"/>
    <n v="0.69841269841269837"/>
  </r>
  <r>
    <x v="57"/>
    <x v="0"/>
    <s v="TAB-7882"/>
    <n v="82"/>
    <n v="60"/>
    <n v="22"/>
    <x v="1"/>
    <n v="0.73170731707317072"/>
  </r>
  <r>
    <x v="57"/>
    <x v="1"/>
    <s v="SYR-8102"/>
    <n v="66"/>
    <n v="66"/>
    <n v="0"/>
    <x v="1"/>
    <n v="1"/>
  </r>
  <r>
    <x v="57"/>
    <x v="2"/>
    <s v="CAP-8532"/>
    <n v="39"/>
    <n v="33"/>
    <n v="6"/>
    <x v="1"/>
    <n v="0.84615384615384615"/>
  </r>
  <r>
    <x v="57"/>
    <x v="3"/>
    <s v="OIN-3885"/>
    <n v="86"/>
    <n v="80"/>
    <n v="6"/>
    <x v="1"/>
    <n v="0.93023255813953487"/>
  </r>
  <r>
    <x v="58"/>
    <x v="0"/>
    <s v="TAB-5425"/>
    <n v="98"/>
    <n v="93"/>
    <n v="5"/>
    <x v="1"/>
    <n v="0.94897959183673475"/>
  </r>
  <r>
    <x v="58"/>
    <x v="1"/>
    <s v="SYR-9817"/>
    <n v="81"/>
    <n v="70"/>
    <n v="11"/>
    <x v="1"/>
    <n v="0.86419753086419748"/>
  </r>
  <r>
    <x v="58"/>
    <x v="2"/>
    <s v="CAP-8136"/>
    <n v="95"/>
    <n v="74"/>
    <n v="21"/>
    <x v="1"/>
    <n v="0.77894736842105261"/>
  </r>
  <r>
    <x v="58"/>
    <x v="3"/>
    <s v="OIN-6280"/>
    <n v="51"/>
    <n v="37"/>
    <n v="14"/>
    <x v="1"/>
    <n v="0.72549019607843135"/>
  </r>
  <r>
    <x v="59"/>
    <x v="0"/>
    <s v="TAB-5569"/>
    <n v="77"/>
    <n v="60"/>
    <n v="17"/>
    <x v="2"/>
    <n v="0.77922077922077926"/>
  </r>
  <r>
    <x v="59"/>
    <x v="1"/>
    <s v="SYR-8613"/>
    <n v="92"/>
    <n v="83"/>
    <n v="9"/>
    <x v="2"/>
    <n v="0.90217391304347827"/>
  </r>
  <r>
    <x v="59"/>
    <x v="2"/>
    <s v="CAP-7209"/>
    <n v="63"/>
    <n v="44"/>
    <n v="19"/>
    <x v="2"/>
    <n v="0.69841269841269837"/>
  </r>
  <r>
    <x v="59"/>
    <x v="3"/>
    <s v="OIN-9098"/>
    <n v="61"/>
    <n v="47"/>
    <n v="14"/>
    <x v="2"/>
    <n v="0.77049180327868849"/>
  </r>
  <r>
    <x v="60"/>
    <x v="0"/>
    <s v="TAB-8988"/>
    <n v="47"/>
    <n v="43"/>
    <n v="4"/>
    <x v="2"/>
    <n v="0.91489361702127658"/>
  </r>
  <r>
    <x v="60"/>
    <x v="1"/>
    <s v="SYR-5232"/>
    <n v="63"/>
    <n v="52"/>
    <n v="11"/>
    <x v="2"/>
    <n v="0.82539682539682535"/>
  </r>
  <r>
    <x v="60"/>
    <x v="2"/>
    <s v="CAP-5526"/>
    <n v="91"/>
    <n v="63"/>
    <n v="28"/>
    <x v="2"/>
    <n v="0.69230769230769229"/>
  </r>
  <r>
    <x v="60"/>
    <x v="3"/>
    <s v="OIN-9464"/>
    <n v="44"/>
    <n v="31"/>
    <n v="13"/>
    <x v="2"/>
    <n v="0.70454545454545459"/>
  </r>
  <r>
    <x v="61"/>
    <x v="0"/>
    <s v="TAB-4954"/>
    <n v="72"/>
    <n v="65"/>
    <n v="7"/>
    <x v="2"/>
    <n v="0.90277777777777779"/>
  </r>
  <r>
    <x v="61"/>
    <x v="1"/>
    <s v="SYR-4937"/>
    <n v="80"/>
    <n v="76"/>
    <n v="4"/>
    <x v="2"/>
    <n v="0.95"/>
  </r>
  <r>
    <x v="61"/>
    <x v="2"/>
    <s v="CAP-9041"/>
    <n v="77"/>
    <n v="53"/>
    <n v="24"/>
    <x v="2"/>
    <n v="0.68831168831168832"/>
  </r>
  <r>
    <x v="61"/>
    <x v="3"/>
    <s v="OIN-2524"/>
    <n v="57"/>
    <n v="46"/>
    <n v="11"/>
    <x v="2"/>
    <n v="0.80701754385964908"/>
  </r>
  <r>
    <x v="62"/>
    <x v="0"/>
    <s v="TAB-7625"/>
    <n v="51"/>
    <n v="44"/>
    <n v="7"/>
    <x v="2"/>
    <n v="0.86274509803921573"/>
  </r>
  <r>
    <x v="62"/>
    <x v="1"/>
    <s v="SYR-7046"/>
    <n v="80"/>
    <n v="73"/>
    <n v="7"/>
    <x v="2"/>
    <n v="0.91249999999999998"/>
  </r>
  <r>
    <x v="62"/>
    <x v="2"/>
    <s v="CAP-9698"/>
    <n v="64"/>
    <n v="57"/>
    <n v="7"/>
    <x v="2"/>
    <n v="0.890625"/>
  </r>
  <r>
    <x v="62"/>
    <x v="3"/>
    <s v="OIN-6419"/>
    <n v="65"/>
    <n v="59"/>
    <n v="6"/>
    <x v="2"/>
    <n v="0.90769230769230769"/>
  </r>
  <r>
    <x v="63"/>
    <x v="0"/>
    <s v="TAB-5438"/>
    <n v="59"/>
    <n v="49"/>
    <n v="10"/>
    <x v="2"/>
    <n v="0.83050847457627119"/>
  </r>
  <r>
    <x v="63"/>
    <x v="1"/>
    <s v="SYR-4777"/>
    <n v="35"/>
    <n v="35"/>
    <n v="0"/>
    <x v="2"/>
    <n v="1"/>
  </r>
  <r>
    <x v="63"/>
    <x v="2"/>
    <s v="CAP-4155"/>
    <n v="60"/>
    <n v="45"/>
    <n v="15"/>
    <x v="2"/>
    <n v="0.75"/>
  </r>
  <r>
    <x v="63"/>
    <x v="3"/>
    <s v="OIN-9779"/>
    <n v="43"/>
    <n v="33"/>
    <n v="10"/>
    <x v="2"/>
    <n v="0.76744186046511631"/>
  </r>
  <r>
    <x v="64"/>
    <x v="0"/>
    <s v="TAB-4545"/>
    <n v="81"/>
    <n v="64"/>
    <n v="17"/>
    <x v="2"/>
    <n v="0.79012345679012341"/>
  </r>
  <r>
    <x v="64"/>
    <x v="1"/>
    <s v="SYR-9595"/>
    <n v="96"/>
    <n v="76"/>
    <n v="20"/>
    <x v="2"/>
    <n v="0.79166666666666663"/>
  </r>
  <r>
    <x v="64"/>
    <x v="2"/>
    <s v="CAP-2647"/>
    <n v="44"/>
    <n v="34"/>
    <n v="10"/>
    <x v="2"/>
    <n v="0.77272727272727271"/>
  </r>
  <r>
    <x v="64"/>
    <x v="3"/>
    <s v="OIN-4727"/>
    <n v="66"/>
    <n v="51"/>
    <n v="15"/>
    <x v="2"/>
    <n v="0.77272727272727271"/>
  </r>
  <r>
    <x v="65"/>
    <x v="0"/>
    <s v="TAB-5952"/>
    <n v="21"/>
    <n v="16"/>
    <n v="5"/>
    <x v="2"/>
    <n v="0.76190476190476186"/>
  </r>
  <r>
    <x v="65"/>
    <x v="1"/>
    <s v="SYR-5494"/>
    <n v="25"/>
    <n v="17"/>
    <n v="8"/>
    <x v="2"/>
    <n v="0.68"/>
  </r>
  <r>
    <x v="65"/>
    <x v="2"/>
    <s v="CAP-5786"/>
    <n v="36"/>
    <n v="35"/>
    <n v="1"/>
    <x v="2"/>
    <n v="0.97222222222222221"/>
  </r>
  <r>
    <x v="65"/>
    <x v="3"/>
    <s v="OIN-9042"/>
    <n v="33"/>
    <n v="23"/>
    <n v="10"/>
    <x v="2"/>
    <n v="0.69696969696969702"/>
  </r>
  <r>
    <x v="66"/>
    <x v="0"/>
    <s v="TAB-5658"/>
    <n v="80"/>
    <n v="71"/>
    <n v="9"/>
    <x v="2"/>
    <n v="0.88749999999999996"/>
  </r>
  <r>
    <x v="66"/>
    <x v="1"/>
    <s v="SYR-8216"/>
    <n v="63"/>
    <n v="49"/>
    <n v="14"/>
    <x v="2"/>
    <n v="0.77777777777777779"/>
  </r>
  <r>
    <x v="66"/>
    <x v="2"/>
    <s v="CAP-1841"/>
    <n v="52"/>
    <n v="51"/>
    <n v="1"/>
    <x v="2"/>
    <n v="0.98076923076923073"/>
  </r>
  <r>
    <x v="66"/>
    <x v="3"/>
    <s v="OIN-2869"/>
    <n v="28"/>
    <n v="25"/>
    <n v="3"/>
    <x v="2"/>
    <n v="0.8928571428571429"/>
  </r>
  <r>
    <x v="67"/>
    <x v="0"/>
    <s v="TAB-9056"/>
    <n v="29"/>
    <n v="29"/>
    <n v="0"/>
    <x v="2"/>
    <n v="1"/>
  </r>
  <r>
    <x v="67"/>
    <x v="1"/>
    <s v="SYR-1878"/>
    <n v="39"/>
    <n v="29"/>
    <n v="10"/>
    <x v="2"/>
    <n v="0.74358974358974361"/>
  </r>
  <r>
    <x v="67"/>
    <x v="2"/>
    <s v="CAP-5978"/>
    <n v="30"/>
    <n v="24"/>
    <n v="6"/>
    <x v="2"/>
    <n v="0.8"/>
  </r>
  <r>
    <x v="67"/>
    <x v="3"/>
    <s v="OIN-2940"/>
    <n v="91"/>
    <n v="87"/>
    <n v="4"/>
    <x v="2"/>
    <n v="0.95604395604395609"/>
  </r>
  <r>
    <x v="68"/>
    <x v="0"/>
    <s v="TAB-7818"/>
    <n v="97"/>
    <n v="86"/>
    <n v="11"/>
    <x v="2"/>
    <n v="0.88659793814432986"/>
  </r>
  <r>
    <x v="68"/>
    <x v="1"/>
    <s v="SYR-4697"/>
    <n v="86"/>
    <n v="72"/>
    <n v="14"/>
    <x v="2"/>
    <n v="0.83720930232558144"/>
  </r>
  <r>
    <x v="68"/>
    <x v="2"/>
    <s v="CAP-8381"/>
    <n v="76"/>
    <n v="62"/>
    <n v="14"/>
    <x v="2"/>
    <n v="0.81578947368421051"/>
  </r>
  <r>
    <x v="68"/>
    <x v="3"/>
    <s v="OIN-8025"/>
    <n v="59"/>
    <n v="59"/>
    <n v="0"/>
    <x v="2"/>
    <n v="1"/>
  </r>
  <r>
    <x v="69"/>
    <x v="0"/>
    <s v="TAB-1986"/>
    <n v="98"/>
    <n v="98"/>
    <n v="0"/>
    <x v="2"/>
    <n v="1"/>
  </r>
  <r>
    <x v="69"/>
    <x v="1"/>
    <s v="SYR-2625"/>
    <n v="46"/>
    <n v="42"/>
    <n v="4"/>
    <x v="2"/>
    <n v="0.91304347826086951"/>
  </r>
  <r>
    <x v="69"/>
    <x v="2"/>
    <s v="CAP-4457"/>
    <n v="53"/>
    <n v="39"/>
    <n v="14"/>
    <x v="2"/>
    <n v="0.73584905660377353"/>
  </r>
  <r>
    <x v="69"/>
    <x v="3"/>
    <s v="OIN-3573"/>
    <n v="50"/>
    <n v="40"/>
    <n v="10"/>
    <x v="2"/>
    <n v="0.8"/>
  </r>
  <r>
    <x v="70"/>
    <x v="0"/>
    <s v="TAB-2229"/>
    <n v="40"/>
    <n v="28"/>
    <n v="12"/>
    <x v="2"/>
    <n v="0.7"/>
  </r>
  <r>
    <x v="70"/>
    <x v="1"/>
    <s v="SYR-7693"/>
    <n v="77"/>
    <n v="75"/>
    <n v="2"/>
    <x v="2"/>
    <n v="0.97402597402597402"/>
  </r>
  <r>
    <x v="70"/>
    <x v="2"/>
    <s v="CAP-8699"/>
    <n v="57"/>
    <n v="40"/>
    <n v="17"/>
    <x v="2"/>
    <n v="0.70175438596491224"/>
  </r>
  <r>
    <x v="70"/>
    <x v="3"/>
    <s v="OIN-4792"/>
    <n v="56"/>
    <n v="48"/>
    <n v="8"/>
    <x v="2"/>
    <n v="0.8571428571428571"/>
  </r>
  <r>
    <x v="71"/>
    <x v="0"/>
    <s v="TAB-8438"/>
    <n v="29"/>
    <n v="23"/>
    <n v="6"/>
    <x v="2"/>
    <n v="0.7931034482758621"/>
  </r>
  <r>
    <x v="71"/>
    <x v="1"/>
    <s v="SYR-5334"/>
    <n v="100"/>
    <n v="88"/>
    <n v="12"/>
    <x v="2"/>
    <n v="0.88"/>
  </r>
  <r>
    <x v="71"/>
    <x v="2"/>
    <s v="CAP-4241"/>
    <n v="74"/>
    <n v="54"/>
    <n v="20"/>
    <x v="2"/>
    <n v="0.72972972972972971"/>
  </r>
  <r>
    <x v="71"/>
    <x v="3"/>
    <s v="OIN-9922"/>
    <n v="48"/>
    <n v="37"/>
    <n v="11"/>
    <x v="2"/>
    <n v="0.77083333333333337"/>
  </r>
  <r>
    <x v="72"/>
    <x v="0"/>
    <s v="TAB-5352"/>
    <n v="38"/>
    <n v="27"/>
    <n v="11"/>
    <x v="2"/>
    <n v="0.71052631578947367"/>
  </r>
  <r>
    <x v="72"/>
    <x v="1"/>
    <s v="SYR-1977"/>
    <n v="41"/>
    <n v="40"/>
    <n v="1"/>
    <x v="2"/>
    <n v="0.97560975609756095"/>
  </r>
  <r>
    <x v="72"/>
    <x v="2"/>
    <s v="CAP-6039"/>
    <n v="96"/>
    <n v="90"/>
    <n v="6"/>
    <x v="2"/>
    <n v="0.9375"/>
  </r>
  <r>
    <x v="72"/>
    <x v="3"/>
    <s v="OIN-5728"/>
    <n v="76"/>
    <n v="56"/>
    <n v="20"/>
    <x v="2"/>
    <n v="0.73684210526315785"/>
  </r>
  <r>
    <x v="73"/>
    <x v="0"/>
    <s v="TAB-8679"/>
    <n v="58"/>
    <n v="52"/>
    <n v="6"/>
    <x v="2"/>
    <n v="0.89655172413793105"/>
  </r>
  <r>
    <x v="73"/>
    <x v="1"/>
    <s v="SYR-5460"/>
    <n v="84"/>
    <n v="75"/>
    <n v="9"/>
    <x v="2"/>
    <n v="0.8928571428571429"/>
  </r>
  <r>
    <x v="73"/>
    <x v="2"/>
    <s v="CAP-9090"/>
    <n v="76"/>
    <n v="55"/>
    <n v="21"/>
    <x v="2"/>
    <n v="0.72368421052631582"/>
  </r>
  <r>
    <x v="73"/>
    <x v="3"/>
    <s v="OIN-1653"/>
    <n v="75"/>
    <n v="75"/>
    <n v="0"/>
    <x v="2"/>
    <n v="1"/>
  </r>
  <r>
    <x v="74"/>
    <x v="0"/>
    <s v="TAB-6280"/>
    <n v="97"/>
    <n v="75"/>
    <n v="22"/>
    <x v="2"/>
    <n v="0.77319587628865982"/>
  </r>
  <r>
    <x v="74"/>
    <x v="1"/>
    <s v="SYR-1423"/>
    <n v="31"/>
    <n v="24"/>
    <n v="7"/>
    <x v="2"/>
    <n v="0.77419354838709675"/>
  </r>
  <r>
    <x v="74"/>
    <x v="2"/>
    <s v="CAP-1339"/>
    <n v="54"/>
    <n v="38"/>
    <n v="16"/>
    <x v="2"/>
    <n v="0.70370370370370372"/>
  </r>
  <r>
    <x v="74"/>
    <x v="3"/>
    <s v="OIN-3870"/>
    <n v="80"/>
    <n v="72"/>
    <n v="8"/>
    <x v="2"/>
    <n v="0.9"/>
  </r>
  <r>
    <x v="75"/>
    <x v="0"/>
    <s v="TAB-8245"/>
    <n v="55"/>
    <n v="43"/>
    <n v="12"/>
    <x v="2"/>
    <n v="0.78181818181818186"/>
  </r>
  <r>
    <x v="75"/>
    <x v="1"/>
    <s v="SYR-8141"/>
    <n v="82"/>
    <n v="59"/>
    <n v="23"/>
    <x v="2"/>
    <n v="0.71951219512195119"/>
  </r>
  <r>
    <x v="75"/>
    <x v="2"/>
    <s v="CAP-8700"/>
    <n v="64"/>
    <n v="57"/>
    <n v="7"/>
    <x v="2"/>
    <n v="0.890625"/>
  </r>
  <r>
    <x v="75"/>
    <x v="3"/>
    <s v="OIN-6460"/>
    <n v="61"/>
    <n v="45"/>
    <n v="16"/>
    <x v="2"/>
    <n v="0.73770491803278693"/>
  </r>
  <r>
    <x v="76"/>
    <x v="0"/>
    <s v="TAB-3634"/>
    <n v="62"/>
    <n v="56"/>
    <n v="6"/>
    <x v="2"/>
    <n v="0.90322580645161288"/>
  </r>
  <r>
    <x v="76"/>
    <x v="1"/>
    <s v="SYR-9117"/>
    <n v="56"/>
    <n v="51"/>
    <n v="5"/>
    <x v="2"/>
    <n v="0.9107142857142857"/>
  </r>
  <r>
    <x v="76"/>
    <x v="2"/>
    <s v="CAP-1601"/>
    <n v="78"/>
    <n v="56"/>
    <n v="22"/>
    <x v="2"/>
    <n v="0.71794871794871795"/>
  </r>
  <r>
    <x v="76"/>
    <x v="3"/>
    <s v="OIN-6153"/>
    <n v="52"/>
    <n v="46"/>
    <n v="6"/>
    <x v="2"/>
    <n v="0.88461538461538458"/>
  </r>
  <r>
    <x v="77"/>
    <x v="0"/>
    <s v="TAB-2899"/>
    <n v="71"/>
    <n v="65"/>
    <n v="6"/>
    <x v="2"/>
    <n v="0.91549295774647887"/>
  </r>
  <r>
    <x v="77"/>
    <x v="1"/>
    <s v="SYR-1018"/>
    <n v="89"/>
    <n v="76"/>
    <n v="13"/>
    <x v="2"/>
    <n v="0.8539325842696629"/>
  </r>
  <r>
    <x v="77"/>
    <x v="2"/>
    <s v="CAP-7770"/>
    <n v="26"/>
    <n v="21"/>
    <n v="5"/>
    <x v="2"/>
    <n v="0.80769230769230771"/>
  </r>
  <r>
    <x v="77"/>
    <x v="3"/>
    <s v="OIN-9494"/>
    <n v="66"/>
    <n v="65"/>
    <n v="1"/>
    <x v="2"/>
    <n v="0.98484848484848486"/>
  </r>
  <r>
    <x v="78"/>
    <x v="0"/>
    <s v="TAB-9167"/>
    <n v="100"/>
    <n v="84"/>
    <n v="16"/>
    <x v="2"/>
    <n v="0.84"/>
  </r>
  <r>
    <x v="78"/>
    <x v="1"/>
    <s v="SYR-1845"/>
    <n v="46"/>
    <n v="36"/>
    <n v="10"/>
    <x v="2"/>
    <n v="0.78260869565217395"/>
  </r>
  <r>
    <x v="78"/>
    <x v="2"/>
    <s v="CAP-9998"/>
    <n v="36"/>
    <n v="29"/>
    <n v="7"/>
    <x v="2"/>
    <n v="0.80555555555555558"/>
  </r>
  <r>
    <x v="78"/>
    <x v="3"/>
    <s v="OIN-8178"/>
    <n v="82"/>
    <n v="60"/>
    <n v="22"/>
    <x v="2"/>
    <n v="0.73170731707317072"/>
  </r>
  <r>
    <x v="79"/>
    <x v="0"/>
    <s v="TAB-1472"/>
    <n v="100"/>
    <n v="89"/>
    <n v="11"/>
    <x v="2"/>
    <n v="0.89"/>
  </r>
  <r>
    <x v="79"/>
    <x v="1"/>
    <s v="SYR-4920"/>
    <n v="40"/>
    <n v="32"/>
    <n v="8"/>
    <x v="2"/>
    <n v="0.8"/>
  </r>
  <r>
    <x v="79"/>
    <x v="2"/>
    <s v="CAP-1224"/>
    <n v="90"/>
    <n v="75"/>
    <n v="15"/>
    <x v="2"/>
    <n v="0.83333333333333337"/>
  </r>
  <r>
    <x v="79"/>
    <x v="3"/>
    <s v="OIN-2527"/>
    <n v="48"/>
    <n v="36"/>
    <n v="12"/>
    <x v="2"/>
    <n v="0.75"/>
  </r>
  <r>
    <x v="80"/>
    <x v="0"/>
    <s v="TAB-8560"/>
    <n v="35"/>
    <n v="34"/>
    <n v="1"/>
    <x v="2"/>
    <n v="0.97142857142857142"/>
  </r>
  <r>
    <x v="80"/>
    <x v="1"/>
    <s v="SYR-3522"/>
    <n v="83"/>
    <n v="80"/>
    <n v="3"/>
    <x v="2"/>
    <n v="0.96385542168674698"/>
  </r>
  <r>
    <x v="80"/>
    <x v="2"/>
    <s v="CAP-5781"/>
    <n v="85"/>
    <n v="81"/>
    <n v="4"/>
    <x v="2"/>
    <n v="0.95294117647058818"/>
  </r>
  <r>
    <x v="80"/>
    <x v="3"/>
    <s v="OIN-5479"/>
    <n v="73"/>
    <n v="66"/>
    <n v="7"/>
    <x v="2"/>
    <n v="0.90410958904109584"/>
  </r>
  <r>
    <x v="81"/>
    <x v="0"/>
    <s v="TAB-8736"/>
    <n v="51"/>
    <n v="49"/>
    <n v="2"/>
    <x v="2"/>
    <n v="0.96078431372549022"/>
  </r>
  <r>
    <x v="81"/>
    <x v="1"/>
    <s v="SYR-3369"/>
    <n v="69"/>
    <n v="54"/>
    <n v="15"/>
    <x v="2"/>
    <n v="0.78260869565217395"/>
  </r>
  <r>
    <x v="81"/>
    <x v="2"/>
    <s v="CAP-9327"/>
    <n v="37"/>
    <n v="26"/>
    <n v="11"/>
    <x v="2"/>
    <n v="0.70270270270270274"/>
  </r>
  <r>
    <x v="81"/>
    <x v="3"/>
    <s v="OIN-5526"/>
    <n v="73"/>
    <n v="61"/>
    <n v="12"/>
    <x v="2"/>
    <n v="0.83561643835616439"/>
  </r>
  <r>
    <x v="82"/>
    <x v="0"/>
    <s v="TAB-9318"/>
    <n v="54"/>
    <n v="37"/>
    <n v="17"/>
    <x v="2"/>
    <n v="0.68518518518518523"/>
  </r>
  <r>
    <x v="82"/>
    <x v="1"/>
    <s v="SYR-5634"/>
    <n v="58"/>
    <n v="58"/>
    <n v="0"/>
    <x v="2"/>
    <n v="1"/>
  </r>
  <r>
    <x v="82"/>
    <x v="2"/>
    <s v="CAP-9022"/>
    <n v="39"/>
    <n v="34"/>
    <n v="5"/>
    <x v="2"/>
    <n v="0.87179487179487181"/>
  </r>
  <r>
    <x v="82"/>
    <x v="3"/>
    <s v="OIN-9824"/>
    <n v="81"/>
    <n v="67"/>
    <n v="14"/>
    <x v="2"/>
    <n v="0.8271604938271605"/>
  </r>
  <r>
    <x v="83"/>
    <x v="0"/>
    <s v="TAB-6446"/>
    <n v="90"/>
    <n v="86"/>
    <n v="4"/>
    <x v="2"/>
    <n v="0.9555555555555556"/>
  </r>
  <r>
    <x v="83"/>
    <x v="1"/>
    <s v="SYR-9903"/>
    <n v="68"/>
    <n v="61"/>
    <n v="7"/>
    <x v="2"/>
    <n v="0.8970588235294118"/>
  </r>
  <r>
    <x v="83"/>
    <x v="2"/>
    <s v="CAP-6272"/>
    <n v="44"/>
    <n v="41"/>
    <n v="3"/>
    <x v="2"/>
    <n v="0.93181818181818177"/>
  </r>
  <r>
    <x v="83"/>
    <x v="3"/>
    <s v="OIN-4912"/>
    <n v="93"/>
    <n v="77"/>
    <n v="16"/>
    <x v="2"/>
    <n v="0.82795698924731187"/>
  </r>
  <r>
    <x v="84"/>
    <x v="0"/>
    <s v="TAB-4826"/>
    <n v="72"/>
    <n v="51"/>
    <n v="21"/>
    <x v="2"/>
    <n v="0.70833333333333337"/>
  </r>
  <r>
    <x v="84"/>
    <x v="1"/>
    <s v="SYR-6213"/>
    <n v="80"/>
    <n v="78"/>
    <n v="2"/>
    <x v="2"/>
    <n v="0.97499999999999998"/>
  </r>
  <r>
    <x v="84"/>
    <x v="2"/>
    <s v="CAP-7246"/>
    <n v="69"/>
    <n v="69"/>
    <n v="0"/>
    <x v="2"/>
    <n v="1"/>
  </r>
  <r>
    <x v="84"/>
    <x v="3"/>
    <s v="OIN-3492"/>
    <n v="83"/>
    <n v="59"/>
    <n v="24"/>
    <x v="2"/>
    <n v="0.71084337349397586"/>
  </r>
  <r>
    <x v="85"/>
    <x v="0"/>
    <s v="TAB-3068"/>
    <n v="84"/>
    <n v="76"/>
    <n v="8"/>
    <x v="2"/>
    <n v="0.90476190476190477"/>
  </r>
  <r>
    <x v="85"/>
    <x v="1"/>
    <s v="SYR-6439"/>
    <n v="32"/>
    <n v="29"/>
    <n v="3"/>
    <x v="2"/>
    <n v="0.90625"/>
  </r>
  <r>
    <x v="85"/>
    <x v="2"/>
    <s v="CAP-2633"/>
    <n v="87"/>
    <n v="74"/>
    <n v="13"/>
    <x v="2"/>
    <n v="0.85057471264367812"/>
  </r>
  <r>
    <x v="85"/>
    <x v="3"/>
    <s v="OIN-1251"/>
    <n v="38"/>
    <n v="32"/>
    <n v="6"/>
    <x v="2"/>
    <n v="0.84210526315789469"/>
  </r>
  <r>
    <x v="86"/>
    <x v="0"/>
    <s v="TAB-3529"/>
    <n v="29"/>
    <n v="27"/>
    <n v="2"/>
    <x v="2"/>
    <n v="0.93103448275862066"/>
  </r>
  <r>
    <x v="86"/>
    <x v="1"/>
    <s v="SYR-5342"/>
    <n v="63"/>
    <n v="63"/>
    <n v="0"/>
    <x v="2"/>
    <n v="1"/>
  </r>
  <r>
    <x v="86"/>
    <x v="2"/>
    <s v="CAP-7512"/>
    <n v="30"/>
    <n v="26"/>
    <n v="4"/>
    <x v="2"/>
    <n v="0.8666666666666667"/>
  </r>
  <r>
    <x v="86"/>
    <x v="3"/>
    <s v="OIN-9742"/>
    <n v="68"/>
    <n v="57"/>
    <n v="11"/>
    <x v="2"/>
    <n v="0.83823529411764708"/>
  </r>
  <r>
    <x v="87"/>
    <x v="0"/>
    <s v="TAB-8994"/>
    <n v="89"/>
    <n v="63"/>
    <n v="26"/>
    <x v="2"/>
    <n v="0.7078651685393258"/>
  </r>
  <r>
    <x v="87"/>
    <x v="1"/>
    <s v="SYR-2121"/>
    <n v="50"/>
    <n v="44"/>
    <n v="6"/>
    <x v="2"/>
    <n v="0.88"/>
  </r>
  <r>
    <x v="87"/>
    <x v="2"/>
    <s v="CAP-4727"/>
    <n v="31"/>
    <n v="27"/>
    <n v="4"/>
    <x v="2"/>
    <n v="0.87096774193548387"/>
  </r>
  <r>
    <x v="87"/>
    <x v="3"/>
    <s v="OIN-2612"/>
    <n v="32"/>
    <n v="29"/>
    <n v="3"/>
    <x v="2"/>
    <n v="0.90625"/>
  </r>
  <r>
    <x v="88"/>
    <x v="0"/>
    <s v="TAB-3725"/>
    <n v="58"/>
    <n v="40"/>
    <n v="18"/>
    <x v="2"/>
    <n v="0.68965517241379315"/>
  </r>
  <r>
    <x v="88"/>
    <x v="1"/>
    <s v="SYR-1753"/>
    <n v="61"/>
    <n v="43"/>
    <n v="18"/>
    <x v="2"/>
    <n v="0.70491803278688525"/>
  </r>
  <r>
    <x v="88"/>
    <x v="2"/>
    <s v="CAP-5806"/>
    <n v="65"/>
    <n v="56"/>
    <n v="9"/>
    <x v="2"/>
    <n v="0.86153846153846159"/>
  </r>
  <r>
    <x v="88"/>
    <x v="3"/>
    <s v="OIN-8056"/>
    <n v="38"/>
    <n v="29"/>
    <n v="9"/>
    <x v="2"/>
    <n v="0.76315789473684215"/>
  </r>
  <r>
    <x v="89"/>
    <x v="0"/>
    <s v="TAB-9702"/>
    <n v="72"/>
    <n v="68"/>
    <n v="4"/>
    <x v="2"/>
    <n v="0.94444444444444442"/>
  </r>
  <r>
    <x v="89"/>
    <x v="1"/>
    <s v="SYR-3950"/>
    <n v="41"/>
    <n v="30"/>
    <n v="11"/>
    <x v="2"/>
    <n v="0.73170731707317072"/>
  </r>
  <r>
    <x v="89"/>
    <x v="2"/>
    <s v="CAP-2293"/>
    <n v="98"/>
    <n v="95"/>
    <n v="3"/>
    <x v="2"/>
    <n v="0.96938775510204078"/>
  </r>
  <r>
    <x v="89"/>
    <x v="3"/>
    <s v="OIN-7267"/>
    <n v="99"/>
    <n v="90"/>
    <n v="9"/>
    <x v="2"/>
    <n v="0.90909090909090906"/>
  </r>
  <r>
    <x v="90"/>
    <x v="0"/>
    <s v="TAB-4945"/>
    <n v="83"/>
    <n v="76"/>
    <n v="7"/>
    <x v="3"/>
    <n v="0.91566265060240959"/>
  </r>
  <r>
    <x v="90"/>
    <x v="1"/>
    <s v="SYR-3344"/>
    <n v="49"/>
    <n v="48"/>
    <n v="1"/>
    <x v="3"/>
    <n v="0.97959183673469385"/>
  </r>
  <r>
    <x v="90"/>
    <x v="2"/>
    <s v="CAP-5161"/>
    <n v="78"/>
    <n v="62"/>
    <n v="16"/>
    <x v="3"/>
    <n v="0.79487179487179482"/>
  </r>
  <r>
    <x v="90"/>
    <x v="3"/>
    <s v="OIN-1153"/>
    <n v="79"/>
    <n v="64"/>
    <n v="15"/>
    <x v="3"/>
    <n v="0.810126582278481"/>
  </r>
  <r>
    <x v="91"/>
    <x v="0"/>
    <s v="TAB-9955"/>
    <n v="40"/>
    <n v="29"/>
    <n v="11"/>
    <x v="3"/>
    <n v="0.72499999999999998"/>
  </r>
  <r>
    <x v="91"/>
    <x v="1"/>
    <s v="SYR-8237"/>
    <n v="64"/>
    <n v="62"/>
    <n v="2"/>
    <x v="3"/>
    <n v="0.96875"/>
  </r>
  <r>
    <x v="91"/>
    <x v="2"/>
    <s v="CAP-5901"/>
    <n v="74"/>
    <n v="73"/>
    <n v="1"/>
    <x v="3"/>
    <n v="0.98648648648648651"/>
  </r>
  <r>
    <x v="91"/>
    <x v="3"/>
    <s v="OIN-5097"/>
    <n v="78"/>
    <n v="63"/>
    <n v="15"/>
    <x v="3"/>
    <n v="0.80769230769230771"/>
  </r>
  <r>
    <x v="92"/>
    <x v="0"/>
    <s v="TAB-4263"/>
    <n v="69"/>
    <n v="63"/>
    <n v="6"/>
    <x v="3"/>
    <n v="0.91304347826086951"/>
  </r>
  <r>
    <x v="92"/>
    <x v="1"/>
    <s v="SYR-2747"/>
    <n v="50"/>
    <n v="47"/>
    <n v="3"/>
    <x v="3"/>
    <n v="0.94"/>
  </r>
  <r>
    <x v="92"/>
    <x v="2"/>
    <s v="CAP-6881"/>
    <n v="93"/>
    <n v="74"/>
    <n v="19"/>
    <x v="3"/>
    <n v="0.79569892473118276"/>
  </r>
  <r>
    <x v="92"/>
    <x v="3"/>
    <s v="OIN-5837"/>
    <n v="22"/>
    <n v="21"/>
    <n v="1"/>
    <x v="3"/>
    <n v="0.95454545454545459"/>
  </r>
  <r>
    <x v="93"/>
    <x v="0"/>
    <s v="TAB-5497"/>
    <n v="21"/>
    <n v="14"/>
    <n v="7"/>
    <x v="3"/>
    <n v="0.66666666666666663"/>
  </r>
  <r>
    <x v="93"/>
    <x v="1"/>
    <s v="SYR-9138"/>
    <n v="56"/>
    <n v="46"/>
    <n v="10"/>
    <x v="3"/>
    <n v="0.8214285714285714"/>
  </r>
  <r>
    <x v="93"/>
    <x v="2"/>
    <s v="CAP-6772"/>
    <n v="48"/>
    <n v="39"/>
    <n v="9"/>
    <x v="3"/>
    <n v="0.8125"/>
  </r>
  <r>
    <x v="93"/>
    <x v="3"/>
    <s v="OIN-5106"/>
    <n v="37"/>
    <n v="35"/>
    <n v="2"/>
    <x v="3"/>
    <n v="0.94594594594594594"/>
  </r>
  <r>
    <x v="94"/>
    <x v="0"/>
    <s v="TAB-2591"/>
    <n v="100"/>
    <n v="90"/>
    <n v="10"/>
    <x v="3"/>
    <n v="0.9"/>
  </r>
  <r>
    <x v="94"/>
    <x v="1"/>
    <s v="SYR-1645"/>
    <n v="59"/>
    <n v="55"/>
    <n v="4"/>
    <x v="3"/>
    <n v="0.93220338983050843"/>
  </r>
  <r>
    <x v="94"/>
    <x v="2"/>
    <s v="CAP-1546"/>
    <n v="94"/>
    <n v="76"/>
    <n v="18"/>
    <x v="3"/>
    <n v="0.80851063829787229"/>
  </r>
  <r>
    <x v="94"/>
    <x v="3"/>
    <s v="OIN-3153"/>
    <n v="31"/>
    <n v="25"/>
    <n v="6"/>
    <x v="3"/>
    <n v="0.80645161290322576"/>
  </r>
  <r>
    <x v="95"/>
    <x v="0"/>
    <s v="TAB-6352"/>
    <n v="73"/>
    <n v="56"/>
    <n v="17"/>
    <x v="3"/>
    <n v="0.76712328767123283"/>
  </r>
  <r>
    <x v="95"/>
    <x v="1"/>
    <s v="SYR-4289"/>
    <n v="36"/>
    <n v="33"/>
    <n v="3"/>
    <x v="3"/>
    <n v="0.91666666666666663"/>
  </r>
  <r>
    <x v="95"/>
    <x v="2"/>
    <s v="CAP-6994"/>
    <n v="87"/>
    <n v="76"/>
    <n v="11"/>
    <x v="3"/>
    <n v="0.87356321839080464"/>
  </r>
  <r>
    <x v="95"/>
    <x v="3"/>
    <s v="OIN-5465"/>
    <n v="41"/>
    <n v="32"/>
    <n v="9"/>
    <x v="3"/>
    <n v="0.78048780487804881"/>
  </r>
  <r>
    <x v="96"/>
    <x v="0"/>
    <s v="TAB-8894"/>
    <n v="57"/>
    <n v="49"/>
    <n v="8"/>
    <x v="3"/>
    <n v="0.85964912280701755"/>
  </r>
  <r>
    <x v="96"/>
    <x v="1"/>
    <s v="SYR-2886"/>
    <n v="79"/>
    <n v="57"/>
    <n v="22"/>
    <x v="3"/>
    <n v="0.72151898734177211"/>
  </r>
  <r>
    <x v="96"/>
    <x v="2"/>
    <s v="CAP-3306"/>
    <n v="48"/>
    <n v="45"/>
    <n v="3"/>
    <x v="3"/>
    <n v="0.9375"/>
  </r>
  <r>
    <x v="96"/>
    <x v="3"/>
    <s v="OIN-6992"/>
    <n v="31"/>
    <n v="27"/>
    <n v="4"/>
    <x v="3"/>
    <n v="0.87096774193548387"/>
  </r>
  <r>
    <x v="97"/>
    <x v="0"/>
    <s v="TAB-1228"/>
    <n v="53"/>
    <n v="40"/>
    <n v="13"/>
    <x v="3"/>
    <n v="0.75471698113207553"/>
  </r>
  <r>
    <x v="97"/>
    <x v="1"/>
    <s v="SYR-8451"/>
    <n v="67"/>
    <n v="67"/>
    <n v="0"/>
    <x v="3"/>
    <n v="1"/>
  </r>
  <r>
    <x v="97"/>
    <x v="2"/>
    <s v="CAP-5295"/>
    <n v="94"/>
    <n v="77"/>
    <n v="17"/>
    <x v="3"/>
    <n v="0.81914893617021278"/>
  </r>
  <r>
    <x v="97"/>
    <x v="3"/>
    <s v="OIN-7086"/>
    <n v="33"/>
    <n v="33"/>
    <n v="0"/>
    <x v="3"/>
    <n v="1"/>
  </r>
  <r>
    <x v="98"/>
    <x v="0"/>
    <s v="TAB-4830"/>
    <n v="80"/>
    <n v="56"/>
    <n v="24"/>
    <x v="3"/>
    <n v="0.7"/>
  </r>
  <r>
    <x v="98"/>
    <x v="1"/>
    <s v="SYR-6374"/>
    <n v="98"/>
    <n v="75"/>
    <n v="23"/>
    <x v="3"/>
    <n v="0.76530612244897955"/>
  </r>
  <r>
    <x v="98"/>
    <x v="2"/>
    <s v="CAP-2035"/>
    <n v="79"/>
    <n v="77"/>
    <n v="2"/>
    <x v="3"/>
    <n v="0.97468354430379744"/>
  </r>
  <r>
    <x v="98"/>
    <x v="3"/>
    <s v="OIN-5951"/>
    <n v="72"/>
    <n v="53"/>
    <n v="19"/>
    <x v="3"/>
    <n v="0.73611111111111116"/>
  </r>
  <r>
    <x v="99"/>
    <x v="0"/>
    <s v="TAB-3290"/>
    <n v="25"/>
    <n v="17"/>
    <n v="8"/>
    <x v="3"/>
    <n v="0.68"/>
  </r>
  <r>
    <x v="99"/>
    <x v="1"/>
    <s v="SYR-5986"/>
    <n v="83"/>
    <n v="61"/>
    <n v="22"/>
    <x v="3"/>
    <n v="0.73493975903614461"/>
  </r>
  <r>
    <x v="99"/>
    <x v="2"/>
    <s v="CAP-2592"/>
    <n v="50"/>
    <n v="39"/>
    <n v="11"/>
    <x v="3"/>
    <n v="0.78"/>
  </r>
  <r>
    <x v="99"/>
    <x v="3"/>
    <s v="OIN-7367"/>
    <n v="78"/>
    <n v="65"/>
    <n v="13"/>
    <x v="3"/>
    <n v="0.83333333333333337"/>
  </r>
  <r>
    <x v="100"/>
    <x v="0"/>
    <s v="TAB-9850"/>
    <n v="73"/>
    <n v="69"/>
    <n v="4"/>
    <x v="3"/>
    <n v="0.9452054794520548"/>
  </r>
  <r>
    <x v="100"/>
    <x v="1"/>
    <s v="SYR-3531"/>
    <n v="73"/>
    <n v="71"/>
    <n v="2"/>
    <x v="3"/>
    <n v="0.9726027397260274"/>
  </r>
  <r>
    <x v="100"/>
    <x v="2"/>
    <s v="CAP-2622"/>
    <n v="82"/>
    <n v="76"/>
    <n v="6"/>
    <x v="3"/>
    <n v="0.92682926829268297"/>
  </r>
  <r>
    <x v="100"/>
    <x v="3"/>
    <s v="OIN-7686"/>
    <n v="55"/>
    <n v="39"/>
    <n v="16"/>
    <x v="3"/>
    <n v="0.70909090909090911"/>
  </r>
  <r>
    <x v="101"/>
    <x v="0"/>
    <s v="TAB-7070"/>
    <n v="47"/>
    <n v="46"/>
    <n v="1"/>
    <x v="3"/>
    <n v="0.97872340425531912"/>
  </r>
  <r>
    <x v="101"/>
    <x v="1"/>
    <s v="SYR-8285"/>
    <n v="50"/>
    <n v="46"/>
    <n v="4"/>
    <x v="3"/>
    <n v="0.92"/>
  </r>
  <r>
    <x v="101"/>
    <x v="2"/>
    <s v="CAP-2627"/>
    <n v="67"/>
    <n v="63"/>
    <n v="4"/>
    <x v="3"/>
    <n v="0.94029850746268662"/>
  </r>
  <r>
    <x v="101"/>
    <x v="3"/>
    <s v="OIN-6876"/>
    <n v="27"/>
    <n v="24"/>
    <n v="3"/>
    <x v="3"/>
    <n v="0.88888888888888884"/>
  </r>
  <r>
    <x v="102"/>
    <x v="0"/>
    <s v="TAB-5520"/>
    <n v="44"/>
    <n v="31"/>
    <n v="13"/>
    <x v="3"/>
    <n v="0.70454545454545459"/>
  </r>
  <r>
    <x v="102"/>
    <x v="1"/>
    <s v="SYR-8450"/>
    <n v="31"/>
    <n v="31"/>
    <n v="0"/>
    <x v="3"/>
    <n v="1"/>
  </r>
  <r>
    <x v="102"/>
    <x v="2"/>
    <s v="CAP-4475"/>
    <n v="96"/>
    <n v="67"/>
    <n v="29"/>
    <x v="3"/>
    <n v="0.69791666666666663"/>
  </r>
  <r>
    <x v="102"/>
    <x v="3"/>
    <s v="OIN-1828"/>
    <n v="62"/>
    <n v="50"/>
    <n v="12"/>
    <x v="3"/>
    <n v="0.80645161290322576"/>
  </r>
  <r>
    <x v="103"/>
    <x v="0"/>
    <s v="TAB-3063"/>
    <n v="92"/>
    <n v="70"/>
    <n v="22"/>
    <x v="3"/>
    <n v="0.76086956521739135"/>
  </r>
  <r>
    <x v="103"/>
    <x v="1"/>
    <s v="SYR-2124"/>
    <n v="90"/>
    <n v="68"/>
    <n v="22"/>
    <x v="3"/>
    <n v="0.75555555555555554"/>
  </r>
  <r>
    <x v="103"/>
    <x v="2"/>
    <s v="CAP-4538"/>
    <n v="49"/>
    <n v="44"/>
    <n v="5"/>
    <x v="3"/>
    <n v="0.89795918367346939"/>
  </r>
  <r>
    <x v="103"/>
    <x v="3"/>
    <s v="OIN-3417"/>
    <n v="96"/>
    <n v="67"/>
    <n v="29"/>
    <x v="3"/>
    <n v="0.69791666666666663"/>
  </r>
  <r>
    <x v="104"/>
    <x v="0"/>
    <s v="TAB-5542"/>
    <n v="38"/>
    <n v="28"/>
    <n v="10"/>
    <x v="3"/>
    <n v="0.73684210526315785"/>
  </r>
  <r>
    <x v="104"/>
    <x v="1"/>
    <s v="SYR-9850"/>
    <n v="52"/>
    <n v="41"/>
    <n v="11"/>
    <x v="3"/>
    <n v="0.78846153846153844"/>
  </r>
  <r>
    <x v="104"/>
    <x v="2"/>
    <s v="CAP-2801"/>
    <n v="23"/>
    <n v="18"/>
    <n v="5"/>
    <x v="3"/>
    <n v="0.78260869565217395"/>
  </r>
  <r>
    <x v="104"/>
    <x v="3"/>
    <s v="OIN-1243"/>
    <n v="65"/>
    <n v="52"/>
    <n v="13"/>
    <x v="3"/>
    <n v="0.8"/>
  </r>
  <r>
    <x v="105"/>
    <x v="0"/>
    <s v="TAB-6304"/>
    <n v="22"/>
    <n v="17"/>
    <n v="5"/>
    <x v="3"/>
    <n v="0.77272727272727271"/>
  </r>
  <r>
    <x v="105"/>
    <x v="1"/>
    <s v="SYR-5347"/>
    <n v="26"/>
    <n v="20"/>
    <n v="6"/>
    <x v="3"/>
    <n v="0.76923076923076927"/>
  </r>
  <r>
    <x v="105"/>
    <x v="2"/>
    <s v="CAP-7897"/>
    <n v="87"/>
    <n v="63"/>
    <n v="24"/>
    <x v="3"/>
    <n v="0.72413793103448276"/>
  </r>
  <r>
    <x v="105"/>
    <x v="3"/>
    <s v="OIN-2041"/>
    <n v="80"/>
    <n v="70"/>
    <n v="10"/>
    <x v="3"/>
    <n v="0.875"/>
  </r>
  <r>
    <x v="106"/>
    <x v="0"/>
    <s v="TAB-6931"/>
    <n v="85"/>
    <n v="77"/>
    <n v="8"/>
    <x v="3"/>
    <n v="0.90588235294117647"/>
  </r>
  <r>
    <x v="106"/>
    <x v="1"/>
    <s v="SYR-2786"/>
    <n v="77"/>
    <n v="69"/>
    <n v="8"/>
    <x v="3"/>
    <n v="0.89610389610389607"/>
  </r>
  <r>
    <x v="106"/>
    <x v="2"/>
    <s v="CAP-4629"/>
    <n v="98"/>
    <n v="69"/>
    <n v="29"/>
    <x v="3"/>
    <n v="0.70408163265306123"/>
  </r>
  <r>
    <x v="106"/>
    <x v="3"/>
    <s v="OIN-9543"/>
    <n v="58"/>
    <n v="54"/>
    <n v="4"/>
    <x v="3"/>
    <n v="0.93103448275862066"/>
  </r>
  <r>
    <x v="107"/>
    <x v="0"/>
    <s v="TAB-1510"/>
    <n v="27"/>
    <n v="25"/>
    <n v="2"/>
    <x v="3"/>
    <n v="0.92592592592592593"/>
  </r>
  <r>
    <x v="107"/>
    <x v="1"/>
    <s v="SYR-7580"/>
    <n v="74"/>
    <n v="72"/>
    <n v="2"/>
    <x v="3"/>
    <n v="0.97297297297297303"/>
  </r>
  <r>
    <x v="107"/>
    <x v="2"/>
    <s v="CAP-2768"/>
    <n v="82"/>
    <n v="79"/>
    <n v="3"/>
    <x v="3"/>
    <n v="0.96341463414634143"/>
  </r>
  <r>
    <x v="107"/>
    <x v="3"/>
    <s v="OIN-8267"/>
    <n v="29"/>
    <n v="21"/>
    <n v="8"/>
    <x v="3"/>
    <n v="0.72413793103448276"/>
  </r>
  <r>
    <x v="108"/>
    <x v="0"/>
    <s v="TAB-6277"/>
    <n v="97"/>
    <n v="71"/>
    <n v="26"/>
    <x v="3"/>
    <n v="0.73195876288659789"/>
  </r>
  <r>
    <x v="108"/>
    <x v="1"/>
    <s v="SYR-2076"/>
    <n v="36"/>
    <n v="29"/>
    <n v="7"/>
    <x v="3"/>
    <n v="0.80555555555555558"/>
  </r>
  <r>
    <x v="108"/>
    <x v="2"/>
    <s v="CAP-9984"/>
    <n v="61"/>
    <n v="54"/>
    <n v="7"/>
    <x v="3"/>
    <n v="0.88524590163934425"/>
  </r>
  <r>
    <x v="108"/>
    <x v="3"/>
    <s v="OIN-9692"/>
    <n v="57"/>
    <n v="53"/>
    <n v="4"/>
    <x v="3"/>
    <n v="0.92982456140350878"/>
  </r>
  <r>
    <x v="109"/>
    <x v="0"/>
    <s v="TAB-9282"/>
    <n v="97"/>
    <n v="80"/>
    <n v="17"/>
    <x v="3"/>
    <n v="0.82474226804123707"/>
  </r>
  <r>
    <x v="109"/>
    <x v="1"/>
    <s v="SYR-2624"/>
    <n v="34"/>
    <n v="33"/>
    <n v="1"/>
    <x v="3"/>
    <n v="0.97058823529411764"/>
  </r>
  <r>
    <x v="109"/>
    <x v="2"/>
    <s v="CAP-4522"/>
    <n v="75"/>
    <n v="66"/>
    <n v="9"/>
    <x v="3"/>
    <n v="0.88"/>
  </r>
  <r>
    <x v="109"/>
    <x v="3"/>
    <s v="OIN-4743"/>
    <n v="72"/>
    <n v="60"/>
    <n v="12"/>
    <x v="3"/>
    <n v="0.83333333333333337"/>
  </r>
  <r>
    <x v="110"/>
    <x v="0"/>
    <s v="TAB-8430"/>
    <n v="71"/>
    <n v="62"/>
    <n v="9"/>
    <x v="3"/>
    <n v="0.87323943661971826"/>
  </r>
  <r>
    <x v="110"/>
    <x v="1"/>
    <s v="SYR-2557"/>
    <n v="60"/>
    <n v="55"/>
    <n v="5"/>
    <x v="3"/>
    <n v="0.91666666666666663"/>
  </r>
  <r>
    <x v="110"/>
    <x v="2"/>
    <s v="CAP-6120"/>
    <n v="52"/>
    <n v="47"/>
    <n v="5"/>
    <x v="3"/>
    <n v="0.90384615384615385"/>
  </r>
  <r>
    <x v="110"/>
    <x v="3"/>
    <s v="OIN-3500"/>
    <n v="80"/>
    <n v="58"/>
    <n v="22"/>
    <x v="3"/>
    <n v="0.72499999999999998"/>
  </r>
  <r>
    <x v="111"/>
    <x v="0"/>
    <s v="TAB-2494"/>
    <n v="30"/>
    <n v="22"/>
    <n v="8"/>
    <x v="3"/>
    <n v="0.73333333333333328"/>
  </r>
  <r>
    <x v="111"/>
    <x v="1"/>
    <s v="SYR-8075"/>
    <n v="32"/>
    <n v="27"/>
    <n v="5"/>
    <x v="3"/>
    <n v="0.84375"/>
  </r>
  <r>
    <x v="111"/>
    <x v="2"/>
    <s v="CAP-3131"/>
    <n v="91"/>
    <n v="64"/>
    <n v="27"/>
    <x v="3"/>
    <n v="0.70329670329670335"/>
  </r>
  <r>
    <x v="111"/>
    <x v="3"/>
    <s v="OIN-6400"/>
    <n v="35"/>
    <n v="30"/>
    <n v="5"/>
    <x v="3"/>
    <n v="0.8571428571428571"/>
  </r>
  <r>
    <x v="112"/>
    <x v="0"/>
    <s v="TAB-6793"/>
    <n v="74"/>
    <n v="74"/>
    <n v="0"/>
    <x v="3"/>
    <n v="1"/>
  </r>
  <r>
    <x v="112"/>
    <x v="1"/>
    <s v="SYR-1842"/>
    <n v="56"/>
    <n v="48"/>
    <n v="8"/>
    <x v="3"/>
    <n v="0.8571428571428571"/>
  </r>
  <r>
    <x v="112"/>
    <x v="2"/>
    <s v="CAP-6761"/>
    <n v="33"/>
    <n v="32"/>
    <n v="1"/>
    <x v="3"/>
    <n v="0.96969696969696972"/>
  </r>
  <r>
    <x v="112"/>
    <x v="3"/>
    <s v="OIN-9313"/>
    <n v="47"/>
    <n v="36"/>
    <n v="11"/>
    <x v="3"/>
    <n v="0.76595744680851063"/>
  </r>
  <r>
    <x v="113"/>
    <x v="0"/>
    <s v="TAB-8900"/>
    <n v="48"/>
    <n v="36"/>
    <n v="12"/>
    <x v="3"/>
    <n v="0.75"/>
  </r>
  <r>
    <x v="113"/>
    <x v="1"/>
    <s v="SYR-6736"/>
    <n v="91"/>
    <n v="74"/>
    <n v="17"/>
    <x v="3"/>
    <n v="0.81318681318681318"/>
  </r>
  <r>
    <x v="113"/>
    <x v="2"/>
    <s v="CAP-2882"/>
    <n v="55"/>
    <n v="45"/>
    <n v="10"/>
    <x v="3"/>
    <n v="0.81818181818181823"/>
  </r>
  <r>
    <x v="113"/>
    <x v="3"/>
    <s v="OIN-8030"/>
    <n v="91"/>
    <n v="87"/>
    <n v="4"/>
    <x v="3"/>
    <n v="0.95604395604395609"/>
  </r>
  <r>
    <x v="114"/>
    <x v="0"/>
    <s v="TAB-1430"/>
    <n v="97"/>
    <n v="96"/>
    <n v="1"/>
    <x v="3"/>
    <n v="0.98969072164948457"/>
  </r>
  <r>
    <x v="114"/>
    <x v="1"/>
    <s v="SYR-5381"/>
    <n v="23"/>
    <n v="18"/>
    <n v="5"/>
    <x v="3"/>
    <n v="0.78260869565217395"/>
  </r>
  <r>
    <x v="114"/>
    <x v="2"/>
    <s v="CAP-5477"/>
    <n v="59"/>
    <n v="51"/>
    <n v="8"/>
    <x v="3"/>
    <n v="0.86440677966101698"/>
  </r>
  <r>
    <x v="114"/>
    <x v="3"/>
    <s v="OIN-6751"/>
    <n v="20"/>
    <n v="15"/>
    <n v="5"/>
    <x v="3"/>
    <n v="0.75"/>
  </r>
  <r>
    <x v="115"/>
    <x v="0"/>
    <s v="TAB-3347"/>
    <n v="92"/>
    <n v="85"/>
    <n v="7"/>
    <x v="3"/>
    <n v="0.92391304347826086"/>
  </r>
  <r>
    <x v="115"/>
    <x v="1"/>
    <s v="SYR-7566"/>
    <n v="28"/>
    <n v="21"/>
    <n v="7"/>
    <x v="3"/>
    <n v="0.75"/>
  </r>
  <r>
    <x v="115"/>
    <x v="2"/>
    <s v="CAP-1502"/>
    <n v="31"/>
    <n v="29"/>
    <n v="2"/>
    <x v="3"/>
    <n v="0.93548387096774188"/>
  </r>
  <r>
    <x v="115"/>
    <x v="3"/>
    <s v="OIN-4524"/>
    <n v="68"/>
    <n v="60"/>
    <n v="8"/>
    <x v="3"/>
    <n v="0.88235294117647056"/>
  </r>
  <r>
    <x v="116"/>
    <x v="0"/>
    <s v="TAB-8432"/>
    <n v="63"/>
    <n v="49"/>
    <n v="14"/>
    <x v="3"/>
    <n v="0.77777777777777779"/>
  </r>
  <r>
    <x v="116"/>
    <x v="1"/>
    <s v="SYR-7062"/>
    <n v="59"/>
    <n v="51"/>
    <n v="8"/>
    <x v="3"/>
    <n v="0.86440677966101698"/>
  </r>
  <r>
    <x v="116"/>
    <x v="2"/>
    <s v="CAP-2391"/>
    <n v="26"/>
    <n v="20"/>
    <n v="6"/>
    <x v="3"/>
    <n v="0.76923076923076927"/>
  </r>
  <r>
    <x v="116"/>
    <x v="3"/>
    <s v="OIN-3579"/>
    <n v="99"/>
    <n v="70"/>
    <n v="29"/>
    <x v="3"/>
    <n v="0.70707070707070707"/>
  </r>
  <r>
    <x v="117"/>
    <x v="0"/>
    <s v="TAB-2336"/>
    <n v="54"/>
    <n v="51"/>
    <n v="3"/>
    <x v="3"/>
    <n v="0.94444444444444442"/>
  </r>
  <r>
    <x v="117"/>
    <x v="1"/>
    <s v="SYR-7947"/>
    <n v="82"/>
    <n v="76"/>
    <n v="6"/>
    <x v="3"/>
    <n v="0.92682926829268297"/>
  </r>
  <r>
    <x v="117"/>
    <x v="2"/>
    <s v="CAP-8242"/>
    <n v="73"/>
    <n v="59"/>
    <n v="14"/>
    <x v="3"/>
    <n v="0.80821917808219179"/>
  </r>
  <r>
    <x v="117"/>
    <x v="3"/>
    <s v="OIN-4531"/>
    <n v="85"/>
    <n v="62"/>
    <n v="23"/>
    <x v="3"/>
    <n v="0.72941176470588232"/>
  </r>
  <r>
    <x v="118"/>
    <x v="0"/>
    <s v="TAB-6655"/>
    <n v="75"/>
    <n v="55"/>
    <n v="20"/>
    <x v="3"/>
    <n v="0.73333333333333328"/>
  </r>
  <r>
    <x v="118"/>
    <x v="1"/>
    <s v="SYR-5640"/>
    <n v="95"/>
    <n v="81"/>
    <n v="14"/>
    <x v="3"/>
    <n v="0.85263157894736841"/>
  </r>
  <r>
    <x v="118"/>
    <x v="2"/>
    <s v="CAP-9633"/>
    <n v="59"/>
    <n v="42"/>
    <n v="17"/>
    <x v="3"/>
    <n v="0.71186440677966101"/>
  </r>
  <r>
    <x v="118"/>
    <x v="3"/>
    <s v="OIN-4612"/>
    <n v="70"/>
    <n v="68"/>
    <n v="2"/>
    <x v="3"/>
    <n v="0.97142857142857142"/>
  </r>
  <r>
    <x v="119"/>
    <x v="0"/>
    <s v="TAB-1897"/>
    <n v="20"/>
    <n v="15"/>
    <n v="5"/>
    <x v="3"/>
    <n v="0.75"/>
  </r>
  <r>
    <x v="119"/>
    <x v="1"/>
    <s v="SYR-5938"/>
    <n v="47"/>
    <n v="36"/>
    <n v="11"/>
    <x v="3"/>
    <n v="0.76595744680851063"/>
  </r>
  <r>
    <x v="119"/>
    <x v="2"/>
    <s v="CAP-5186"/>
    <n v="57"/>
    <n v="49"/>
    <n v="8"/>
    <x v="3"/>
    <n v="0.85964912280701755"/>
  </r>
  <r>
    <x v="119"/>
    <x v="3"/>
    <s v="OIN-2965"/>
    <n v="20"/>
    <n v="17"/>
    <n v="3"/>
    <x v="3"/>
    <n v="0.85"/>
  </r>
  <r>
    <x v="120"/>
    <x v="0"/>
    <s v="TAB-8055"/>
    <n v="42"/>
    <n v="31"/>
    <n v="11"/>
    <x v="4"/>
    <n v="0.73809523809523814"/>
  </r>
  <r>
    <x v="120"/>
    <x v="1"/>
    <s v="SYR-7229"/>
    <n v="88"/>
    <n v="83"/>
    <n v="5"/>
    <x v="4"/>
    <n v="0.94318181818181823"/>
  </r>
  <r>
    <x v="120"/>
    <x v="2"/>
    <s v="CAP-4770"/>
    <n v="84"/>
    <n v="75"/>
    <n v="9"/>
    <x v="4"/>
    <n v="0.8928571428571429"/>
  </r>
  <r>
    <x v="120"/>
    <x v="3"/>
    <s v="OIN-6802"/>
    <n v="29"/>
    <n v="26"/>
    <n v="3"/>
    <x v="4"/>
    <n v="0.89655172413793105"/>
  </r>
  <r>
    <x v="121"/>
    <x v="0"/>
    <s v="TAB-1693"/>
    <n v="75"/>
    <n v="52"/>
    <n v="23"/>
    <x v="4"/>
    <n v="0.69333333333333336"/>
  </r>
  <r>
    <x v="121"/>
    <x v="1"/>
    <s v="SYR-8532"/>
    <n v="29"/>
    <n v="25"/>
    <n v="4"/>
    <x v="4"/>
    <n v="0.86206896551724133"/>
  </r>
  <r>
    <x v="121"/>
    <x v="2"/>
    <s v="CAP-8033"/>
    <n v="93"/>
    <n v="77"/>
    <n v="16"/>
    <x v="4"/>
    <n v="0.82795698924731187"/>
  </r>
  <r>
    <x v="121"/>
    <x v="3"/>
    <s v="OIN-7843"/>
    <n v="57"/>
    <n v="42"/>
    <n v="15"/>
    <x v="4"/>
    <n v="0.73684210526315785"/>
  </r>
  <r>
    <x v="122"/>
    <x v="0"/>
    <s v="TAB-7636"/>
    <n v="22"/>
    <n v="20"/>
    <n v="2"/>
    <x v="4"/>
    <n v="0.90909090909090906"/>
  </r>
  <r>
    <x v="122"/>
    <x v="1"/>
    <s v="SYR-3815"/>
    <n v="99"/>
    <n v="83"/>
    <n v="16"/>
    <x v="4"/>
    <n v="0.83838383838383834"/>
  </r>
  <r>
    <x v="122"/>
    <x v="2"/>
    <s v="CAP-6928"/>
    <n v="31"/>
    <n v="27"/>
    <n v="4"/>
    <x v="4"/>
    <n v="0.87096774193548387"/>
  </r>
  <r>
    <x v="122"/>
    <x v="3"/>
    <s v="OIN-2734"/>
    <n v="51"/>
    <n v="48"/>
    <n v="3"/>
    <x v="4"/>
    <n v="0.94117647058823528"/>
  </r>
  <r>
    <x v="123"/>
    <x v="0"/>
    <s v="TAB-7560"/>
    <n v="87"/>
    <n v="62"/>
    <n v="25"/>
    <x v="4"/>
    <n v="0.71264367816091956"/>
  </r>
  <r>
    <x v="123"/>
    <x v="1"/>
    <s v="SYR-7484"/>
    <n v="59"/>
    <n v="51"/>
    <n v="8"/>
    <x v="4"/>
    <n v="0.86440677966101698"/>
  </r>
  <r>
    <x v="123"/>
    <x v="2"/>
    <s v="CAP-4630"/>
    <n v="62"/>
    <n v="48"/>
    <n v="14"/>
    <x v="4"/>
    <n v="0.77419354838709675"/>
  </r>
  <r>
    <x v="123"/>
    <x v="3"/>
    <s v="OIN-2251"/>
    <n v="85"/>
    <n v="79"/>
    <n v="6"/>
    <x v="4"/>
    <n v="0.92941176470588238"/>
  </r>
  <r>
    <x v="124"/>
    <x v="0"/>
    <s v="TAB-2868"/>
    <n v="87"/>
    <n v="76"/>
    <n v="11"/>
    <x v="4"/>
    <n v="0.87356321839080464"/>
  </r>
  <r>
    <x v="124"/>
    <x v="1"/>
    <s v="SYR-4176"/>
    <n v="64"/>
    <n v="55"/>
    <n v="9"/>
    <x v="4"/>
    <n v="0.859375"/>
  </r>
  <r>
    <x v="124"/>
    <x v="2"/>
    <s v="CAP-3419"/>
    <n v="50"/>
    <n v="38"/>
    <n v="12"/>
    <x v="4"/>
    <n v="0.76"/>
  </r>
  <r>
    <x v="124"/>
    <x v="3"/>
    <s v="OIN-3399"/>
    <n v="52"/>
    <n v="42"/>
    <n v="10"/>
    <x v="4"/>
    <n v="0.80769230769230771"/>
  </r>
  <r>
    <x v="125"/>
    <x v="0"/>
    <s v="TAB-3842"/>
    <n v="97"/>
    <n v="71"/>
    <n v="26"/>
    <x v="4"/>
    <n v="0.73195876288659789"/>
  </r>
  <r>
    <x v="125"/>
    <x v="1"/>
    <s v="SYR-2234"/>
    <n v="42"/>
    <n v="41"/>
    <n v="1"/>
    <x v="4"/>
    <n v="0.97619047619047616"/>
  </r>
  <r>
    <x v="125"/>
    <x v="2"/>
    <s v="CAP-9095"/>
    <n v="79"/>
    <n v="79"/>
    <n v="0"/>
    <x v="4"/>
    <n v="1"/>
  </r>
  <r>
    <x v="125"/>
    <x v="3"/>
    <s v="OIN-8354"/>
    <n v="92"/>
    <n v="84"/>
    <n v="8"/>
    <x v="4"/>
    <n v="0.91304347826086951"/>
  </r>
  <r>
    <x v="126"/>
    <x v="0"/>
    <s v="TAB-6295"/>
    <n v="100"/>
    <n v="80"/>
    <n v="20"/>
    <x v="4"/>
    <n v="0.8"/>
  </r>
  <r>
    <x v="126"/>
    <x v="1"/>
    <s v="SYR-3473"/>
    <n v="76"/>
    <n v="55"/>
    <n v="21"/>
    <x v="4"/>
    <n v="0.72368421052631582"/>
  </r>
  <r>
    <x v="126"/>
    <x v="2"/>
    <s v="CAP-8682"/>
    <n v="76"/>
    <n v="73"/>
    <n v="3"/>
    <x v="4"/>
    <n v="0.96052631578947367"/>
  </r>
  <r>
    <x v="126"/>
    <x v="3"/>
    <s v="OIN-5961"/>
    <n v="55"/>
    <n v="39"/>
    <n v="16"/>
    <x v="4"/>
    <n v="0.70909090909090911"/>
  </r>
  <r>
    <x v="127"/>
    <x v="0"/>
    <s v="TAB-6766"/>
    <n v="84"/>
    <n v="60"/>
    <n v="24"/>
    <x v="4"/>
    <n v="0.7142857142857143"/>
  </r>
  <r>
    <x v="127"/>
    <x v="1"/>
    <s v="SYR-6085"/>
    <n v="79"/>
    <n v="69"/>
    <n v="10"/>
    <x v="4"/>
    <n v="0.87341772151898733"/>
  </r>
  <r>
    <x v="127"/>
    <x v="2"/>
    <s v="CAP-1616"/>
    <n v="27"/>
    <n v="23"/>
    <n v="4"/>
    <x v="4"/>
    <n v="0.85185185185185186"/>
  </r>
  <r>
    <x v="127"/>
    <x v="3"/>
    <s v="OIN-5703"/>
    <n v="29"/>
    <n v="21"/>
    <n v="8"/>
    <x v="4"/>
    <n v="0.72413793103448276"/>
  </r>
  <r>
    <x v="128"/>
    <x v="0"/>
    <s v="TAB-9307"/>
    <n v="69"/>
    <n v="62"/>
    <n v="7"/>
    <x v="4"/>
    <n v="0.89855072463768115"/>
  </r>
  <r>
    <x v="128"/>
    <x v="1"/>
    <s v="SYR-1672"/>
    <n v="77"/>
    <n v="71"/>
    <n v="6"/>
    <x v="4"/>
    <n v="0.92207792207792205"/>
  </r>
  <r>
    <x v="128"/>
    <x v="2"/>
    <s v="CAP-4084"/>
    <n v="61"/>
    <n v="61"/>
    <n v="0"/>
    <x v="4"/>
    <n v="1"/>
  </r>
  <r>
    <x v="128"/>
    <x v="3"/>
    <s v="OIN-8792"/>
    <n v="84"/>
    <n v="62"/>
    <n v="22"/>
    <x v="4"/>
    <n v="0.73809523809523814"/>
  </r>
  <r>
    <x v="129"/>
    <x v="0"/>
    <s v="TAB-2013"/>
    <n v="77"/>
    <n v="56"/>
    <n v="21"/>
    <x v="4"/>
    <n v="0.72727272727272729"/>
  </r>
  <r>
    <x v="129"/>
    <x v="1"/>
    <s v="SYR-6626"/>
    <n v="30"/>
    <n v="29"/>
    <n v="1"/>
    <x v="4"/>
    <n v="0.96666666666666667"/>
  </r>
  <r>
    <x v="129"/>
    <x v="2"/>
    <s v="CAP-3827"/>
    <n v="25"/>
    <n v="20"/>
    <n v="5"/>
    <x v="4"/>
    <n v="0.8"/>
  </r>
  <r>
    <x v="129"/>
    <x v="3"/>
    <s v="OIN-8172"/>
    <n v="76"/>
    <n v="69"/>
    <n v="7"/>
    <x v="4"/>
    <n v="0.90789473684210531"/>
  </r>
  <r>
    <x v="130"/>
    <x v="0"/>
    <s v="TAB-9564"/>
    <n v="98"/>
    <n v="73"/>
    <n v="25"/>
    <x v="4"/>
    <n v="0.74489795918367352"/>
  </r>
  <r>
    <x v="130"/>
    <x v="1"/>
    <s v="SYR-6962"/>
    <n v="67"/>
    <n v="55"/>
    <n v="12"/>
    <x v="4"/>
    <n v="0.82089552238805974"/>
  </r>
  <r>
    <x v="130"/>
    <x v="2"/>
    <s v="CAP-7347"/>
    <n v="72"/>
    <n v="60"/>
    <n v="12"/>
    <x v="4"/>
    <n v="0.83333333333333337"/>
  </r>
  <r>
    <x v="130"/>
    <x v="3"/>
    <s v="OIN-1857"/>
    <n v="100"/>
    <n v="90"/>
    <n v="10"/>
    <x v="4"/>
    <n v="0.9"/>
  </r>
  <r>
    <x v="131"/>
    <x v="0"/>
    <s v="TAB-6482"/>
    <n v="28"/>
    <n v="24"/>
    <n v="4"/>
    <x v="4"/>
    <n v="0.8571428571428571"/>
  </r>
  <r>
    <x v="131"/>
    <x v="1"/>
    <s v="SYR-2548"/>
    <n v="91"/>
    <n v="84"/>
    <n v="7"/>
    <x v="4"/>
    <n v="0.92307692307692313"/>
  </r>
  <r>
    <x v="131"/>
    <x v="2"/>
    <s v="CAP-7333"/>
    <n v="56"/>
    <n v="47"/>
    <n v="9"/>
    <x v="4"/>
    <n v="0.8392857142857143"/>
  </r>
  <r>
    <x v="131"/>
    <x v="3"/>
    <s v="OIN-3463"/>
    <n v="62"/>
    <n v="45"/>
    <n v="17"/>
    <x v="4"/>
    <n v="0.72580645161290325"/>
  </r>
  <r>
    <x v="132"/>
    <x v="0"/>
    <s v="TAB-3317"/>
    <n v="64"/>
    <n v="53"/>
    <n v="11"/>
    <x v="4"/>
    <n v="0.828125"/>
  </r>
  <r>
    <x v="132"/>
    <x v="1"/>
    <s v="SYR-7421"/>
    <n v="36"/>
    <n v="34"/>
    <n v="2"/>
    <x v="4"/>
    <n v="0.94444444444444442"/>
  </r>
  <r>
    <x v="132"/>
    <x v="2"/>
    <s v="CAP-2388"/>
    <n v="59"/>
    <n v="58"/>
    <n v="1"/>
    <x v="4"/>
    <n v="0.98305084745762716"/>
  </r>
  <r>
    <x v="132"/>
    <x v="3"/>
    <s v="OIN-7171"/>
    <n v="62"/>
    <n v="47"/>
    <n v="15"/>
    <x v="4"/>
    <n v="0.75806451612903225"/>
  </r>
  <r>
    <x v="133"/>
    <x v="0"/>
    <s v="TAB-9624"/>
    <n v="31"/>
    <n v="31"/>
    <n v="0"/>
    <x v="4"/>
    <n v="1"/>
  </r>
  <r>
    <x v="133"/>
    <x v="1"/>
    <s v="SYR-7937"/>
    <n v="85"/>
    <n v="70"/>
    <n v="15"/>
    <x v="4"/>
    <n v="0.82352941176470584"/>
  </r>
  <r>
    <x v="133"/>
    <x v="2"/>
    <s v="CAP-1298"/>
    <n v="66"/>
    <n v="55"/>
    <n v="11"/>
    <x v="4"/>
    <n v="0.83333333333333337"/>
  </r>
  <r>
    <x v="133"/>
    <x v="3"/>
    <s v="OIN-3953"/>
    <n v="47"/>
    <n v="42"/>
    <n v="5"/>
    <x v="4"/>
    <n v="0.8936170212765957"/>
  </r>
  <r>
    <x v="134"/>
    <x v="0"/>
    <s v="TAB-8967"/>
    <n v="44"/>
    <n v="33"/>
    <n v="11"/>
    <x v="4"/>
    <n v="0.75"/>
  </r>
  <r>
    <x v="134"/>
    <x v="1"/>
    <s v="SYR-3253"/>
    <n v="39"/>
    <n v="28"/>
    <n v="11"/>
    <x v="4"/>
    <n v="0.71794871794871795"/>
  </r>
  <r>
    <x v="134"/>
    <x v="2"/>
    <s v="CAP-5846"/>
    <n v="32"/>
    <n v="30"/>
    <n v="2"/>
    <x v="4"/>
    <n v="0.9375"/>
  </r>
  <r>
    <x v="134"/>
    <x v="3"/>
    <s v="OIN-9843"/>
    <n v="87"/>
    <n v="61"/>
    <n v="26"/>
    <x v="4"/>
    <n v="0.70114942528735635"/>
  </r>
  <r>
    <x v="135"/>
    <x v="0"/>
    <s v="TAB-6517"/>
    <n v="99"/>
    <n v="73"/>
    <n v="26"/>
    <x v="4"/>
    <n v="0.73737373737373735"/>
  </r>
  <r>
    <x v="135"/>
    <x v="1"/>
    <s v="SYR-7172"/>
    <n v="39"/>
    <n v="29"/>
    <n v="10"/>
    <x v="4"/>
    <n v="0.74358974358974361"/>
  </r>
  <r>
    <x v="135"/>
    <x v="2"/>
    <s v="CAP-3962"/>
    <n v="99"/>
    <n v="94"/>
    <n v="5"/>
    <x v="4"/>
    <n v="0.9494949494949495"/>
  </r>
  <r>
    <x v="135"/>
    <x v="3"/>
    <s v="OIN-3712"/>
    <n v="76"/>
    <n v="54"/>
    <n v="22"/>
    <x v="4"/>
    <n v="0.71052631578947367"/>
  </r>
  <r>
    <x v="136"/>
    <x v="0"/>
    <s v="TAB-7731"/>
    <n v="66"/>
    <n v="53"/>
    <n v="13"/>
    <x v="4"/>
    <n v="0.80303030303030298"/>
  </r>
  <r>
    <x v="136"/>
    <x v="1"/>
    <s v="SYR-8277"/>
    <n v="98"/>
    <n v="77"/>
    <n v="21"/>
    <x v="4"/>
    <n v="0.7857142857142857"/>
  </r>
  <r>
    <x v="136"/>
    <x v="2"/>
    <s v="CAP-8355"/>
    <n v="49"/>
    <n v="41"/>
    <n v="8"/>
    <x v="4"/>
    <n v="0.83673469387755106"/>
  </r>
  <r>
    <x v="136"/>
    <x v="3"/>
    <s v="OIN-6070"/>
    <n v="80"/>
    <n v="62"/>
    <n v="18"/>
    <x v="4"/>
    <n v="0.77500000000000002"/>
  </r>
  <r>
    <x v="137"/>
    <x v="0"/>
    <s v="TAB-7026"/>
    <n v="93"/>
    <n v="79"/>
    <n v="14"/>
    <x v="4"/>
    <n v="0.84946236559139787"/>
  </r>
  <r>
    <x v="137"/>
    <x v="1"/>
    <s v="SYR-8564"/>
    <n v="56"/>
    <n v="51"/>
    <n v="5"/>
    <x v="4"/>
    <n v="0.9107142857142857"/>
  </r>
  <r>
    <x v="137"/>
    <x v="2"/>
    <s v="CAP-9239"/>
    <n v="87"/>
    <n v="73"/>
    <n v="14"/>
    <x v="4"/>
    <n v="0.83908045977011492"/>
  </r>
  <r>
    <x v="137"/>
    <x v="3"/>
    <s v="OIN-3655"/>
    <n v="45"/>
    <n v="43"/>
    <n v="2"/>
    <x v="4"/>
    <n v="0.9555555555555556"/>
  </r>
  <r>
    <x v="138"/>
    <x v="0"/>
    <s v="TAB-3267"/>
    <n v="52"/>
    <n v="37"/>
    <n v="15"/>
    <x v="4"/>
    <n v="0.71153846153846156"/>
  </r>
  <r>
    <x v="138"/>
    <x v="1"/>
    <s v="SYR-8873"/>
    <n v="67"/>
    <n v="63"/>
    <n v="4"/>
    <x v="4"/>
    <n v="0.94029850746268662"/>
  </r>
  <r>
    <x v="138"/>
    <x v="2"/>
    <s v="CAP-2680"/>
    <n v="86"/>
    <n v="63"/>
    <n v="23"/>
    <x v="4"/>
    <n v="0.73255813953488369"/>
  </r>
  <r>
    <x v="138"/>
    <x v="3"/>
    <s v="OIN-5670"/>
    <n v="30"/>
    <n v="23"/>
    <n v="7"/>
    <x v="4"/>
    <n v="0.76666666666666672"/>
  </r>
  <r>
    <x v="139"/>
    <x v="0"/>
    <s v="TAB-5469"/>
    <n v="77"/>
    <n v="69"/>
    <n v="8"/>
    <x v="4"/>
    <n v="0.89610389610389607"/>
  </r>
  <r>
    <x v="139"/>
    <x v="1"/>
    <s v="SYR-3414"/>
    <n v="75"/>
    <n v="54"/>
    <n v="21"/>
    <x v="4"/>
    <n v="0.72"/>
  </r>
  <r>
    <x v="139"/>
    <x v="2"/>
    <s v="CAP-4637"/>
    <n v="77"/>
    <n v="64"/>
    <n v="13"/>
    <x v="4"/>
    <n v="0.83116883116883122"/>
  </r>
  <r>
    <x v="139"/>
    <x v="3"/>
    <s v="OIN-1436"/>
    <n v="73"/>
    <n v="52"/>
    <n v="21"/>
    <x v="4"/>
    <n v="0.71232876712328763"/>
  </r>
  <r>
    <x v="140"/>
    <x v="0"/>
    <s v="TAB-7495"/>
    <n v="84"/>
    <n v="69"/>
    <n v="15"/>
    <x v="4"/>
    <n v="0.8214285714285714"/>
  </r>
  <r>
    <x v="140"/>
    <x v="1"/>
    <s v="SYR-4862"/>
    <n v="69"/>
    <n v="50"/>
    <n v="19"/>
    <x v="4"/>
    <n v="0.72463768115942029"/>
  </r>
  <r>
    <x v="140"/>
    <x v="2"/>
    <s v="CAP-7142"/>
    <n v="48"/>
    <n v="33"/>
    <n v="15"/>
    <x v="4"/>
    <n v="0.6875"/>
  </r>
  <r>
    <x v="140"/>
    <x v="3"/>
    <s v="OIN-6221"/>
    <n v="32"/>
    <n v="32"/>
    <n v="0"/>
    <x v="4"/>
    <n v="1"/>
  </r>
  <r>
    <x v="141"/>
    <x v="0"/>
    <s v="TAB-6493"/>
    <n v="38"/>
    <n v="28"/>
    <n v="10"/>
    <x v="4"/>
    <n v="0.73684210526315785"/>
  </r>
  <r>
    <x v="141"/>
    <x v="1"/>
    <s v="SYR-1627"/>
    <n v="56"/>
    <n v="54"/>
    <n v="2"/>
    <x v="4"/>
    <n v="0.9642857142857143"/>
  </r>
  <r>
    <x v="141"/>
    <x v="2"/>
    <s v="CAP-3273"/>
    <n v="80"/>
    <n v="70"/>
    <n v="10"/>
    <x v="4"/>
    <n v="0.875"/>
  </r>
  <r>
    <x v="141"/>
    <x v="3"/>
    <s v="OIN-1086"/>
    <n v="30"/>
    <n v="21"/>
    <n v="9"/>
    <x v="4"/>
    <n v="0.7"/>
  </r>
  <r>
    <x v="142"/>
    <x v="0"/>
    <s v="TAB-5193"/>
    <n v="47"/>
    <n v="36"/>
    <n v="11"/>
    <x v="4"/>
    <n v="0.76595744680851063"/>
  </r>
  <r>
    <x v="142"/>
    <x v="1"/>
    <s v="SYR-9991"/>
    <n v="97"/>
    <n v="83"/>
    <n v="14"/>
    <x v="4"/>
    <n v="0.85567010309278346"/>
  </r>
  <r>
    <x v="142"/>
    <x v="2"/>
    <s v="CAP-7934"/>
    <n v="34"/>
    <n v="27"/>
    <n v="7"/>
    <x v="4"/>
    <n v="0.79411764705882348"/>
  </r>
  <r>
    <x v="142"/>
    <x v="3"/>
    <s v="OIN-4893"/>
    <n v="58"/>
    <n v="43"/>
    <n v="15"/>
    <x v="4"/>
    <n v="0.74137931034482762"/>
  </r>
  <r>
    <x v="143"/>
    <x v="0"/>
    <s v="TAB-1782"/>
    <n v="50"/>
    <n v="48"/>
    <n v="2"/>
    <x v="4"/>
    <n v="0.96"/>
  </r>
  <r>
    <x v="143"/>
    <x v="1"/>
    <s v="SYR-8489"/>
    <n v="28"/>
    <n v="20"/>
    <n v="8"/>
    <x v="4"/>
    <n v="0.7142857142857143"/>
  </r>
  <r>
    <x v="143"/>
    <x v="2"/>
    <s v="CAP-9189"/>
    <n v="96"/>
    <n v="84"/>
    <n v="12"/>
    <x v="4"/>
    <n v="0.875"/>
  </r>
  <r>
    <x v="143"/>
    <x v="3"/>
    <s v="OIN-1269"/>
    <n v="100"/>
    <n v="86"/>
    <n v="14"/>
    <x v="4"/>
    <n v="0.86"/>
  </r>
  <r>
    <x v="144"/>
    <x v="0"/>
    <s v="TAB-4963"/>
    <n v="38"/>
    <n v="30"/>
    <n v="8"/>
    <x v="4"/>
    <n v="0.78947368421052633"/>
  </r>
  <r>
    <x v="144"/>
    <x v="1"/>
    <s v="SYR-8032"/>
    <n v="20"/>
    <n v="18"/>
    <n v="2"/>
    <x v="4"/>
    <n v="0.9"/>
  </r>
  <r>
    <x v="144"/>
    <x v="2"/>
    <s v="CAP-6780"/>
    <n v="50"/>
    <n v="48"/>
    <n v="2"/>
    <x v="4"/>
    <n v="0.96"/>
  </r>
  <r>
    <x v="144"/>
    <x v="3"/>
    <s v="OIN-4068"/>
    <n v="30"/>
    <n v="29"/>
    <n v="1"/>
    <x v="4"/>
    <n v="0.96666666666666667"/>
  </r>
  <r>
    <x v="145"/>
    <x v="0"/>
    <s v="TAB-6908"/>
    <n v="28"/>
    <n v="27"/>
    <n v="1"/>
    <x v="4"/>
    <n v="0.9642857142857143"/>
  </r>
  <r>
    <x v="145"/>
    <x v="1"/>
    <s v="SYR-9914"/>
    <n v="84"/>
    <n v="83"/>
    <n v="1"/>
    <x v="4"/>
    <n v="0.98809523809523814"/>
  </r>
  <r>
    <x v="145"/>
    <x v="2"/>
    <s v="CAP-9316"/>
    <n v="90"/>
    <n v="62"/>
    <n v="28"/>
    <x v="4"/>
    <n v="0.68888888888888888"/>
  </r>
  <r>
    <x v="145"/>
    <x v="3"/>
    <s v="OIN-7397"/>
    <n v="80"/>
    <n v="57"/>
    <n v="23"/>
    <x v="4"/>
    <n v="0.71250000000000002"/>
  </r>
  <r>
    <x v="146"/>
    <x v="0"/>
    <s v="TAB-7338"/>
    <n v="67"/>
    <n v="54"/>
    <n v="13"/>
    <x v="4"/>
    <n v="0.80597014925373134"/>
  </r>
  <r>
    <x v="146"/>
    <x v="1"/>
    <s v="SYR-1266"/>
    <n v="65"/>
    <n v="47"/>
    <n v="18"/>
    <x v="4"/>
    <n v="0.72307692307692306"/>
  </r>
  <r>
    <x v="146"/>
    <x v="2"/>
    <s v="CAP-6649"/>
    <n v="50"/>
    <n v="38"/>
    <n v="12"/>
    <x v="4"/>
    <n v="0.76"/>
  </r>
  <r>
    <x v="146"/>
    <x v="3"/>
    <s v="OIN-6447"/>
    <n v="37"/>
    <n v="25"/>
    <n v="12"/>
    <x v="4"/>
    <n v="0.67567567567567566"/>
  </r>
  <r>
    <x v="147"/>
    <x v="0"/>
    <s v="TAB-6772"/>
    <n v="89"/>
    <n v="72"/>
    <n v="17"/>
    <x v="4"/>
    <n v="0.8089887640449438"/>
  </r>
  <r>
    <x v="147"/>
    <x v="1"/>
    <s v="SYR-3868"/>
    <n v="79"/>
    <n v="77"/>
    <n v="2"/>
    <x v="4"/>
    <n v="0.97468354430379744"/>
  </r>
  <r>
    <x v="147"/>
    <x v="2"/>
    <s v="CAP-8840"/>
    <n v="100"/>
    <n v="75"/>
    <n v="25"/>
    <x v="4"/>
    <n v="0.75"/>
  </r>
  <r>
    <x v="147"/>
    <x v="3"/>
    <s v="OIN-3209"/>
    <n v="28"/>
    <n v="26"/>
    <n v="2"/>
    <x v="4"/>
    <n v="0.9285714285714286"/>
  </r>
  <r>
    <x v="148"/>
    <x v="0"/>
    <s v="TAB-1605"/>
    <n v="57"/>
    <n v="45"/>
    <n v="12"/>
    <x v="4"/>
    <n v="0.78947368421052633"/>
  </r>
  <r>
    <x v="148"/>
    <x v="1"/>
    <s v="SYR-1717"/>
    <n v="45"/>
    <n v="45"/>
    <n v="0"/>
    <x v="4"/>
    <n v="1"/>
  </r>
  <r>
    <x v="148"/>
    <x v="2"/>
    <s v="CAP-1686"/>
    <n v="60"/>
    <n v="51"/>
    <n v="9"/>
    <x v="4"/>
    <n v="0.85"/>
  </r>
  <r>
    <x v="148"/>
    <x v="3"/>
    <s v="OIN-9444"/>
    <n v="70"/>
    <n v="66"/>
    <n v="4"/>
    <x v="4"/>
    <n v="0.94285714285714284"/>
  </r>
  <r>
    <x v="149"/>
    <x v="0"/>
    <s v="TAB-8756"/>
    <n v="52"/>
    <n v="37"/>
    <n v="15"/>
    <x v="4"/>
    <n v="0.71153846153846156"/>
  </r>
  <r>
    <x v="149"/>
    <x v="1"/>
    <s v="SYR-4131"/>
    <n v="56"/>
    <n v="50"/>
    <n v="6"/>
    <x v="4"/>
    <n v="0.8928571428571429"/>
  </r>
  <r>
    <x v="149"/>
    <x v="2"/>
    <s v="CAP-1783"/>
    <n v="62"/>
    <n v="51"/>
    <n v="11"/>
    <x v="4"/>
    <n v="0.82258064516129037"/>
  </r>
  <r>
    <x v="149"/>
    <x v="3"/>
    <s v="OIN-3039"/>
    <n v="67"/>
    <n v="59"/>
    <n v="8"/>
    <x v="4"/>
    <n v="0.88059701492537312"/>
  </r>
  <r>
    <x v="150"/>
    <x v="0"/>
    <s v="TAB-7553"/>
    <n v="76"/>
    <n v="65"/>
    <n v="11"/>
    <x v="4"/>
    <n v="0.85526315789473684"/>
  </r>
  <r>
    <x v="150"/>
    <x v="1"/>
    <s v="SYR-6554"/>
    <n v="43"/>
    <n v="37"/>
    <n v="6"/>
    <x v="4"/>
    <n v="0.86046511627906974"/>
  </r>
  <r>
    <x v="150"/>
    <x v="2"/>
    <s v="CAP-9151"/>
    <n v="67"/>
    <n v="62"/>
    <n v="5"/>
    <x v="4"/>
    <n v="0.92537313432835822"/>
  </r>
  <r>
    <x v="150"/>
    <x v="3"/>
    <s v="OIN-5369"/>
    <n v="30"/>
    <n v="27"/>
    <n v="3"/>
    <x v="4"/>
    <n v="0.9"/>
  </r>
  <r>
    <x v="151"/>
    <x v="0"/>
    <s v="TAB-2293"/>
    <n v="75"/>
    <n v="71"/>
    <n v="4"/>
    <x v="5"/>
    <n v="0.94666666666666666"/>
  </r>
  <r>
    <x v="151"/>
    <x v="1"/>
    <s v="SYR-3956"/>
    <n v="89"/>
    <n v="71"/>
    <n v="18"/>
    <x v="5"/>
    <n v="0.797752808988764"/>
  </r>
  <r>
    <x v="151"/>
    <x v="2"/>
    <s v="CAP-6262"/>
    <n v="33"/>
    <n v="24"/>
    <n v="9"/>
    <x v="5"/>
    <n v="0.72727272727272729"/>
  </r>
  <r>
    <x v="151"/>
    <x v="3"/>
    <s v="OIN-6372"/>
    <n v="57"/>
    <n v="48"/>
    <n v="9"/>
    <x v="5"/>
    <n v="0.84210526315789469"/>
  </r>
  <r>
    <x v="152"/>
    <x v="0"/>
    <s v="TAB-8305"/>
    <n v="97"/>
    <n v="89"/>
    <n v="8"/>
    <x v="5"/>
    <n v="0.91752577319587625"/>
  </r>
  <r>
    <x v="152"/>
    <x v="1"/>
    <s v="SYR-7981"/>
    <n v="41"/>
    <n v="39"/>
    <n v="2"/>
    <x v="5"/>
    <n v="0.95121951219512191"/>
  </r>
  <r>
    <x v="152"/>
    <x v="2"/>
    <s v="CAP-8272"/>
    <n v="64"/>
    <n v="58"/>
    <n v="6"/>
    <x v="5"/>
    <n v="0.90625"/>
  </r>
  <r>
    <x v="152"/>
    <x v="3"/>
    <s v="OIN-1693"/>
    <n v="65"/>
    <n v="64"/>
    <n v="1"/>
    <x v="5"/>
    <n v="0.98461538461538467"/>
  </r>
  <r>
    <x v="153"/>
    <x v="0"/>
    <s v="TAB-8126"/>
    <n v="55"/>
    <n v="39"/>
    <n v="16"/>
    <x v="5"/>
    <n v="0.70909090909090911"/>
  </r>
  <r>
    <x v="153"/>
    <x v="1"/>
    <s v="SYR-2229"/>
    <n v="71"/>
    <n v="60"/>
    <n v="11"/>
    <x v="5"/>
    <n v="0.84507042253521125"/>
  </r>
  <r>
    <x v="153"/>
    <x v="2"/>
    <s v="CAP-9406"/>
    <n v="40"/>
    <n v="28"/>
    <n v="12"/>
    <x v="5"/>
    <n v="0.7"/>
  </r>
  <r>
    <x v="153"/>
    <x v="3"/>
    <s v="OIN-3339"/>
    <n v="97"/>
    <n v="88"/>
    <n v="9"/>
    <x v="5"/>
    <n v="0.90721649484536082"/>
  </r>
  <r>
    <x v="154"/>
    <x v="0"/>
    <s v="TAB-8179"/>
    <n v="24"/>
    <n v="18"/>
    <n v="6"/>
    <x v="5"/>
    <n v="0.75"/>
  </r>
  <r>
    <x v="154"/>
    <x v="1"/>
    <s v="SYR-2101"/>
    <n v="50"/>
    <n v="46"/>
    <n v="4"/>
    <x v="5"/>
    <n v="0.92"/>
  </r>
  <r>
    <x v="154"/>
    <x v="2"/>
    <s v="CAP-6933"/>
    <n v="69"/>
    <n v="66"/>
    <n v="3"/>
    <x v="5"/>
    <n v="0.95652173913043481"/>
  </r>
  <r>
    <x v="154"/>
    <x v="3"/>
    <s v="OIN-1530"/>
    <n v="97"/>
    <n v="71"/>
    <n v="26"/>
    <x v="5"/>
    <n v="0.73195876288659789"/>
  </r>
  <r>
    <x v="155"/>
    <x v="0"/>
    <s v="TAB-8371"/>
    <n v="67"/>
    <n v="57"/>
    <n v="10"/>
    <x v="5"/>
    <n v="0.85074626865671643"/>
  </r>
  <r>
    <x v="155"/>
    <x v="1"/>
    <s v="SYR-8273"/>
    <n v="29"/>
    <n v="29"/>
    <n v="0"/>
    <x v="5"/>
    <n v="1"/>
  </r>
  <r>
    <x v="155"/>
    <x v="2"/>
    <s v="CAP-3255"/>
    <n v="87"/>
    <n v="71"/>
    <n v="16"/>
    <x v="5"/>
    <n v="0.81609195402298851"/>
  </r>
  <r>
    <x v="155"/>
    <x v="3"/>
    <s v="OIN-7521"/>
    <n v="60"/>
    <n v="50"/>
    <n v="10"/>
    <x v="5"/>
    <n v="0.83333333333333337"/>
  </r>
  <r>
    <x v="156"/>
    <x v="0"/>
    <s v="TAB-5089"/>
    <n v="34"/>
    <n v="23"/>
    <n v="11"/>
    <x v="5"/>
    <n v="0.67647058823529416"/>
  </r>
  <r>
    <x v="156"/>
    <x v="1"/>
    <s v="SYR-4048"/>
    <n v="83"/>
    <n v="74"/>
    <n v="9"/>
    <x v="5"/>
    <n v="0.89156626506024095"/>
  </r>
  <r>
    <x v="156"/>
    <x v="2"/>
    <s v="CAP-7340"/>
    <n v="91"/>
    <n v="66"/>
    <n v="25"/>
    <x v="5"/>
    <n v="0.72527472527472525"/>
  </r>
  <r>
    <x v="156"/>
    <x v="3"/>
    <s v="OIN-5288"/>
    <n v="53"/>
    <n v="51"/>
    <n v="2"/>
    <x v="5"/>
    <n v="0.96226415094339623"/>
  </r>
  <r>
    <x v="157"/>
    <x v="0"/>
    <s v="TAB-4515"/>
    <n v="98"/>
    <n v="77"/>
    <n v="21"/>
    <x v="5"/>
    <n v="0.7857142857142857"/>
  </r>
  <r>
    <x v="157"/>
    <x v="1"/>
    <s v="SYR-9047"/>
    <n v="45"/>
    <n v="32"/>
    <n v="13"/>
    <x v="5"/>
    <n v="0.71111111111111114"/>
  </r>
  <r>
    <x v="157"/>
    <x v="2"/>
    <s v="CAP-3223"/>
    <n v="29"/>
    <n v="27"/>
    <n v="2"/>
    <x v="5"/>
    <n v="0.93103448275862066"/>
  </r>
  <r>
    <x v="157"/>
    <x v="3"/>
    <s v="OIN-3828"/>
    <n v="76"/>
    <n v="55"/>
    <n v="21"/>
    <x v="5"/>
    <n v="0.72368421052631582"/>
  </r>
  <r>
    <x v="158"/>
    <x v="0"/>
    <s v="TAB-6236"/>
    <n v="64"/>
    <n v="46"/>
    <n v="18"/>
    <x v="5"/>
    <n v="0.71875"/>
  </r>
  <r>
    <x v="158"/>
    <x v="1"/>
    <s v="SYR-9882"/>
    <n v="57"/>
    <n v="48"/>
    <n v="9"/>
    <x v="5"/>
    <n v="0.84210526315789469"/>
  </r>
  <r>
    <x v="158"/>
    <x v="2"/>
    <s v="CAP-3580"/>
    <n v="42"/>
    <n v="41"/>
    <n v="1"/>
    <x v="5"/>
    <n v="0.97619047619047616"/>
  </r>
  <r>
    <x v="158"/>
    <x v="3"/>
    <s v="OIN-6922"/>
    <n v="85"/>
    <n v="66"/>
    <n v="19"/>
    <x v="5"/>
    <n v="0.77647058823529413"/>
  </r>
  <r>
    <x v="159"/>
    <x v="0"/>
    <s v="TAB-2988"/>
    <n v="45"/>
    <n v="43"/>
    <n v="2"/>
    <x v="5"/>
    <n v="0.9555555555555556"/>
  </r>
  <r>
    <x v="159"/>
    <x v="1"/>
    <s v="SYR-3275"/>
    <n v="50"/>
    <n v="50"/>
    <n v="0"/>
    <x v="5"/>
    <n v="1"/>
  </r>
  <r>
    <x v="159"/>
    <x v="2"/>
    <s v="CAP-1430"/>
    <n v="66"/>
    <n v="63"/>
    <n v="3"/>
    <x v="5"/>
    <n v="0.95454545454545459"/>
  </r>
  <r>
    <x v="159"/>
    <x v="3"/>
    <s v="OIN-7044"/>
    <n v="79"/>
    <n v="72"/>
    <n v="7"/>
    <x v="5"/>
    <n v="0.91139240506329111"/>
  </r>
  <r>
    <x v="160"/>
    <x v="0"/>
    <s v="TAB-3126"/>
    <n v="98"/>
    <n v="96"/>
    <n v="2"/>
    <x v="5"/>
    <n v="0.97959183673469385"/>
  </r>
  <r>
    <x v="160"/>
    <x v="1"/>
    <s v="SYR-2412"/>
    <n v="28"/>
    <n v="23"/>
    <n v="5"/>
    <x v="5"/>
    <n v="0.8214285714285714"/>
  </r>
  <r>
    <x v="160"/>
    <x v="2"/>
    <s v="CAP-7523"/>
    <n v="81"/>
    <n v="72"/>
    <n v="9"/>
    <x v="5"/>
    <n v="0.88888888888888884"/>
  </r>
  <r>
    <x v="160"/>
    <x v="3"/>
    <s v="OIN-7730"/>
    <n v="72"/>
    <n v="68"/>
    <n v="4"/>
    <x v="5"/>
    <n v="0.94444444444444442"/>
  </r>
  <r>
    <x v="161"/>
    <x v="0"/>
    <s v="TAB-2208"/>
    <n v="36"/>
    <n v="30"/>
    <n v="6"/>
    <x v="5"/>
    <n v="0.83333333333333337"/>
  </r>
  <r>
    <x v="161"/>
    <x v="1"/>
    <s v="SYR-2215"/>
    <n v="77"/>
    <n v="67"/>
    <n v="10"/>
    <x v="5"/>
    <n v="0.87012987012987009"/>
  </r>
  <r>
    <x v="161"/>
    <x v="2"/>
    <s v="CAP-9476"/>
    <n v="64"/>
    <n v="48"/>
    <n v="16"/>
    <x v="5"/>
    <n v="0.75"/>
  </r>
  <r>
    <x v="161"/>
    <x v="3"/>
    <s v="OIN-3981"/>
    <n v="36"/>
    <n v="31"/>
    <n v="5"/>
    <x v="5"/>
    <n v="0.86111111111111116"/>
  </r>
  <r>
    <x v="162"/>
    <x v="0"/>
    <s v="TAB-9238"/>
    <n v="27"/>
    <n v="19"/>
    <n v="8"/>
    <x v="5"/>
    <n v="0.70370370370370372"/>
  </r>
  <r>
    <x v="162"/>
    <x v="1"/>
    <s v="SYR-9488"/>
    <n v="39"/>
    <n v="31"/>
    <n v="8"/>
    <x v="5"/>
    <n v="0.79487179487179482"/>
  </r>
  <r>
    <x v="162"/>
    <x v="2"/>
    <s v="CAP-3697"/>
    <n v="40"/>
    <n v="33"/>
    <n v="7"/>
    <x v="5"/>
    <n v="0.82499999999999996"/>
  </r>
  <r>
    <x v="162"/>
    <x v="3"/>
    <s v="OIN-4694"/>
    <n v="64"/>
    <n v="60"/>
    <n v="4"/>
    <x v="5"/>
    <n v="0.9375"/>
  </r>
  <r>
    <x v="163"/>
    <x v="0"/>
    <s v="TAB-5653"/>
    <n v="30"/>
    <n v="25"/>
    <n v="5"/>
    <x v="5"/>
    <n v="0.83333333333333337"/>
  </r>
  <r>
    <x v="163"/>
    <x v="1"/>
    <s v="SYR-4216"/>
    <n v="90"/>
    <n v="70"/>
    <n v="20"/>
    <x v="5"/>
    <n v="0.77777777777777779"/>
  </r>
  <r>
    <x v="163"/>
    <x v="2"/>
    <s v="CAP-3050"/>
    <n v="100"/>
    <n v="79"/>
    <n v="21"/>
    <x v="5"/>
    <n v="0.79"/>
  </r>
  <r>
    <x v="163"/>
    <x v="3"/>
    <s v="OIN-9740"/>
    <n v="31"/>
    <n v="29"/>
    <n v="2"/>
    <x v="5"/>
    <n v="0.93548387096774188"/>
  </r>
  <r>
    <x v="164"/>
    <x v="0"/>
    <s v="TAB-3762"/>
    <n v="95"/>
    <n v="84"/>
    <n v="11"/>
    <x v="5"/>
    <n v="0.88421052631578945"/>
  </r>
  <r>
    <x v="164"/>
    <x v="1"/>
    <s v="SYR-3526"/>
    <n v="41"/>
    <n v="38"/>
    <n v="3"/>
    <x v="5"/>
    <n v="0.92682926829268297"/>
  </r>
  <r>
    <x v="164"/>
    <x v="2"/>
    <s v="CAP-6531"/>
    <n v="92"/>
    <n v="65"/>
    <n v="27"/>
    <x v="5"/>
    <n v="0.70652173913043481"/>
  </r>
  <r>
    <x v="164"/>
    <x v="3"/>
    <s v="OIN-1464"/>
    <n v="30"/>
    <n v="21"/>
    <n v="9"/>
    <x v="5"/>
    <n v="0.7"/>
  </r>
  <r>
    <x v="165"/>
    <x v="0"/>
    <s v="TAB-5336"/>
    <n v="46"/>
    <n v="44"/>
    <n v="2"/>
    <x v="5"/>
    <n v="0.95652173913043481"/>
  </r>
  <r>
    <x v="165"/>
    <x v="1"/>
    <s v="SYR-7825"/>
    <n v="99"/>
    <n v="89"/>
    <n v="10"/>
    <x v="5"/>
    <n v="0.89898989898989901"/>
  </r>
  <r>
    <x v="165"/>
    <x v="2"/>
    <s v="CAP-1496"/>
    <n v="83"/>
    <n v="78"/>
    <n v="5"/>
    <x v="5"/>
    <n v="0.93975903614457834"/>
  </r>
  <r>
    <x v="165"/>
    <x v="3"/>
    <s v="OIN-9938"/>
    <n v="57"/>
    <n v="48"/>
    <n v="9"/>
    <x v="5"/>
    <n v="0.84210526315789469"/>
  </r>
  <r>
    <x v="166"/>
    <x v="0"/>
    <s v="TAB-8912"/>
    <n v="51"/>
    <n v="47"/>
    <n v="4"/>
    <x v="5"/>
    <n v="0.92156862745098034"/>
  </r>
  <r>
    <x v="166"/>
    <x v="1"/>
    <s v="SYR-5873"/>
    <n v="78"/>
    <n v="56"/>
    <n v="22"/>
    <x v="5"/>
    <n v="0.71794871794871795"/>
  </r>
  <r>
    <x v="166"/>
    <x v="2"/>
    <s v="CAP-1981"/>
    <n v="40"/>
    <n v="35"/>
    <n v="5"/>
    <x v="5"/>
    <n v="0.875"/>
  </r>
  <r>
    <x v="166"/>
    <x v="3"/>
    <s v="OIN-7809"/>
    <n v="81"/>
    <n v="70"/>
    <n v="11"/>
    <x v="5"/>
    <n v="0.86419753086419748"/>
  </r>
  <r>
    <x v="167"/>
    <x v="0"/>
    <s v="TAB-4342"/>
    <n v="63"/>
    <n v="63"/>
    <n v="0"/>
    <x v="5"/>
    <n v="1"/>
  </r>
  <r>
    <x v="167"/>
    <x v="1"/>
    <s v="SYR-3353"/>
    <n v="60"/>
    <n v="52"/>
    <n v="8"/>
    <x v="5"/>
    <n v="0.8666666666666667"/>
  </r>
  <r>
    <x v="167"/>
    <x v="2"/>
    <s v="CAP-6658"/>
    <n v="71"/>
    <n v="53"/>
    <n v="18"/>
    <x v="5"/>
    <n v="0.74647887323943662"/>
  </r>
  <r>
    <x v="167"/>
    <x v="3"/>
    <s v="OIN-7070"/>
    <n v="85"/>
    <n v="76"/>
    <n v="9"/>
    <x v="5"/>
    <n v="0.89411764705882357"/>
  </r>
  <r>
    <x v="168"/>
    <x v="0"/>
    <s v="TAB-2739"/>
    <n v="60"/>
    <n v="49"/>
    <n v="11"/>
    <x v="5"/>
    <n v="0.81666666666666665"/>
  </r>
  <r>
    <x v="168"/>
    <x v="1"/>
    <s v="SYR-8642"/>
    <n v="35"/>
    <n v="28"/>
    <n v="7"/>
    <x v="5"/>
    <n v="0.8"/>
  </r>
  <r>
    <x v="168"/>
    <x v="2"/>
    <s v="CAP-8366"/>
    <n v="51"/>
    <n v="39"/>
    <n v="12"/>
    <x v="5"/>
    <n v="0.76470588235294112"/>
  </r>
  <r>
    <x v="168"/>
    <x v="3"/>
    <s v="OIN-2586"/>
    <n v="26"/>
    <n v="22"/>
    <n v="4"/>
    <x v="5"/>
    <n v="0.84615384615384615"/>
  </r>
  <r>
    <x v="169"/>
    <x v="0"/>
    <s v="TAB-7293"/>
    <n v="98"/>
    <n v="81"/>
    <n v="17"/>
    <x v="5"/>
    <n v="0.82653061224489799"/>
  </r>
  <r>
    <x v="169"/>
    <x v="1"/>
    <s v="SYR-5067"/>
    <n v="40"/>
    <n v="33"/>
    <n v="7"/>
    <x v="5"/>
    <n v="0.82499999999999996"/>
  </r>
  <r>
    <x v="169"/>
    <x v="2"/>
    <s v="CAP-6123"/>
    <n v="44"/>
    <n v="42"/>
    <n v="2"/>
    <x v="5"/>
    <n v="0.95454545454545459"/>
  </r>
  <r>
    <x v="169"/>
    <x v="3"/>
    <s v="OIN-3610"/>
    <n v="83"/>
    <n v="74"/>
    <n v="9"/>
    <x v="5"/>
    <n v="0.89156626506024095"/>
  </r>
  <r>
    <x v="170"/>
    <x v="0"/>
    <s v="TAB-8648"/>
    <n v="83"/>
    <n v="67"/>
    <n v="16"/>
    <x v="5"/>
    <n v="0.80722891566265065"/>
  </r>
  <r>
    <x v="170"/>
    <x v="1"/>
    <s v="SYR-9148"/>
    <n v="22"/>
    <n v="16"/>
    <n v="6"/>
    <x v="5"/>
    <n v="0.72727272727272729"/>
  </r>
  <r>
    <x v="170"/>
    <x v="2"/>
    <s v="CAP-7442"/>
    <n v="84"/>
    <n v="72"/>
    <n v="12"/>
    <x v="5"/>
    <n v="0.8571428571428571"/>
  </r>
  <r>
    <x v="170"/>
    <x v="3"/>
    <s v="OIN-4944"/>
    <n v="47"/>
    <n v="43"/>
    <n v="4"/>
    <x v="5"/>
    <n v="0.91489361702127658"/>
  </r>
  <r>
    <x v="171"/>
    <x v="0"/>
    <s v="TAB-1797"/>
    <n v="26"/>
    <n v="22"/>
    <n v="4"/>
    <x v="5"/>
    <n v="0.84615384615384615"/>
  </r>
  <r>
    <x v="171"/>
    <x v="1"/>
    <s v="SYR-9108"/>
    <n v="96"/>
    <n v="95"/>
    <n v="1"/>
    <x v="5"/>
    <n v="0.98958333333333337"/>
  </r>
  <r>
    <x v="171"/>
    <x v="2"/>
    <s v="CAP-8710"/>
    <n v="56"/>
    <n v="56"/>
    <n v="0"/>
    <x v="5"/>
    <n v="1"/>
  </r>
  <r>
    <x v="171"/>
    <x v="3"/>
    <s v="OIN-1133"/>
    <n v="33"/>
    <n v="29"/>
    <n v="4"/>
    <x v="5"/>
    <n v="0.87878787878787878"/>
  </r>
  <r>
    <x v="172"/>
    <x v="0"/>
    <s v="TAB-3194"/>
    <n v="53"/>
    <n v="48"/>
    <n v="5"/>
    <x v="5"/>
    <n v="0.90566037735849059"/>
  </r>
  <r>
    <x v="172"/>
    <x v="1"/>
    <s v="SYR-7606"/>
    <n v="66"/>
    <n v="47"/>
    <n v="19"/>
    <x v="5"/>
    <n v="0.71212121212121215"/>
  </r>
  <r>
    <x v="172"/>
    <x v="2"/>
    <s v="CAP-7563"/>
    <n v="26"/>
    <n v="26"/>
    <n v="0"/>
    <x v="5"/>
    <n v="1"/>
  </r>
  <r>
    <x v="172"/>
    <x v="3"/>
    <s v="OIN-4189"/>
    <n v="66"/>
    <n v="63"/>
    <n v="3"/>
    <x v="5"/>
    <n v="0.95454545454545459"/>
  </r>
  <r>
    <x v="173"/>
    <x v="0"/>
    <s v="TAB-5728"/>
    <n v="29"/>
    <n v="26"/>
    <n v="3"/>
    <x v="5"/>
    <n v="0.89655172413793105"/>
  </r>
  <r>
    <x v="173"/>
    <x v="1"/>
    <s v="SYR-9261"/>
    <n v="77"/>
    <n v="77"/>
    <n v="0"/>
    <x v="5"/>
    <n v="1"/>
  </r>
  <r>
    <x v="173"/>
    <x v="2"/>
    <s v="CAP-5582"/>
    <n v="99"/>
    <n v="90"/>
    <n v="9"/>
    <x v="5"/>
    <n v="0.90909090909090906"/>
  </r>
  <r>
    <x v="173"/>
    <x v="3"/>
    <s v="OIN-2946"/>
    <n v="36"/>
    <n v="26"/>
    <n v="10"/>
    <x v="5"/>
    <n v="0.72222222222222221"/>
  </r>
  <r>
    <x v="174"/>
    <x v="0"/>
    <s v="TAB-7453"/>
    <n v="67"/>
    <n v="56"/>
    <n v="11"/>
    <x v="5"/>
    <n v="0.83582089552238803"/>
  </r>
  <r>
    <x v="174"/>
    <x v="1"/>
    <s v="SYR-6990"/>
    <n v="38"/>
    <n v="29"/>
    <n v="9"/>
    <x v="5"/>
    <n v="0.76315789473684215"/>
  </r>
  <r>
    <x v="174"/>
    <x v="2"/>
    <s v="CAP-9341"/>
    <n v="71"/>
    <n v="65"/>
    <n v="6"/>
    <x v="5"/>
    <n v="0.91549295774647887"/>
  </r>
  <r>
    <x v="174"/>
    <x v="3"/>
    <s v="OIN-1659"/>
    <n v="25"/>
    <n v="17"/>
    <n v="8"/>
    <x v="5"/>
    <n v="0.68"/>
  </r>
  <r>
    <x v="175"/>
    <x v="0"/>
    <s v="TAB-3245"/>
    <n v="62"/>
    <n v="58"/>
    <n v="4"/>
    <x v="5"/>
    <n v="0.93548387096774188"/>
  </r>
  <r>
    <x v="175"/>
    <x v="1"/>
    <s v="SYR-9508"/>
    <n v="78"/>
    <n v="58"/>
    <n v="20"/>
    <x v="5"/>
    <n v="0.74358974358974361"/>
  </r>
  <r>
    <x v="175"/>
    <x v="2"/>
    <s v="CAP-9446"/>
    <n v="37"/>
    <n v="30"/>
    <n v="7"/>
    <x v="5"/>
    <n v="0.81081081081081086"/>
  </r>
  <r>
    <x v="175"/>
    <x v="3"/>
    <s v="OIN-6218"/>
    <n v="40"/>
    <n v="34"/>
    <n v="6"/>
    <x v="5"/>
    <n v="0.85"/>
  </r>
  <r>
    <x v="176"/>
    <x v="0"/>
    <s v="TAB-5902"/>
    <n v="95"/>
    <n v="76"/>
    <n v="19"/>
    <x v="5"/>
    <n v="0.8"/>
  </r>
  <r>
    <x v="176"/>
    <x v="1"/>
    <s v="SYR-9311"/>
    <n v="85"/>
    <n v="76"/>
    <n v="9"/>
    <x v="5"/>
    <n v="0.89411764705882357"/>
  </r>
  <r>
    <x v="176"/>
    <x v="2"/>
    <s v="CAP-9025"/>
    <n v="92"/>
    <n v="73"/>
    <n v="19"/>
    <x v="5"/>
    <n v="0.79347826086956519"/>
  </r>
  <r>
    <x v="176"/>
    <x v="3"/>
    <s v="OIN-8780"/>
    <n v="22"/>
    <n v="20"/>
    <n v="2"/>
    <x v="5"/>
    <n v="0.90909090909090906"/>
  </r>
  <r>
    <x v="177"/>
    <x v="0"/>
    <s v="TAB-6427"/>
    <n v="34"/>
    <n v="29"/>
    <n v="5"/>
    <x v="5"/>
    <n v="0.8529411764705882"/>
  </r>
  <r>
    <x v="177"/>
    <x v="1"/>
    <s v="SYR-6040"/>
    <n v="100"/>
    <n v="70"/>
    <n v="30"/>
    <x v="5"/>
    <n v="0.7"/>
  </r>
  <r>
    <x v="177"/>
    <x v="2"/>
    <s v="CAP-8775"/>
    <n v="53"/>
    <n v="44"/>
    <n v="9"/>
    <x v="5"/>
    <n v="0.83018867924528306"/>
  </r>
  <r>
    <x v="177"/>
    <x v="3"/>
    <s v="OIN-1841"/>
    <n v="94"/>
    <n v="80"/>
    <n v="14"/>
    <x v="5"/>
    <n v="0.85106382978723405"/>
  </r>
  <r>
    <x v="178"/>
    <x v="0"/>
    <s v="TAB-3793"/>
    <n v="87"/>
    <n v="80"/>
    <n v="7"/>
    <x v="5"/>
    <n v="0.91954022988505746"/>
  </r>
  <r>
    <x v="178"/>
    <x v="1"/>
    <s v="SYR-7229"/>
    <n v="38"/>
    <n v="36"/>
    <n v="2"/>
    <x v="5"/>
    <n v="0.94736842105263153"/>
  </r>
  <r>
    <x v="178"/>
    <x v="2"/>
    <s v="CAP-4968"/>
    <n v="24"/>
    <n v="17"/>
    <n v="7"/>
    <x v="5"/>
    <n v="0.70833333333333337"/>
  </r>
  <r>
    <x v="178"/>
    <x v="3"/>
    <s v="OIN-4125"/>
    <n v="22"/>
    <n v="22"/>
    <n v="0"/>
    <x v="5"/>
    <n v="1"/>
  </r>
  <r>
    <x v="179"/>
    <x v="0"/>
    <s v="TAB-6139"/>
    <n v="73"/>
    <n v="55"/>
    <n v="18"/>
    <x v="5"/>
    <n v="0.75342465753424659"/>
  </r>
  <r>
    <x v="179"/>
    <x v="1"/>
    <s v="SYR-7765"/>
    <n v="46"/>
    <n v="38"/>
    <n v="8"/>
    <x v="5"/>
    <n v="0.82608695652173914"/>
  </r>
  <r>
    <x v="179"/>
    <x v="2"/>
    <s v="CAP-9221"/>
    <n v="98"/>
    <n v="97"/>
    <n v="1"/>
    <x v="5"/>
    <n v="0.98979591836734693"/>
  </r>
  <r>
    <x v="179"/>
    <x v="3"/>
    <s v="OIN-8726"/>
    <n v="27"/>
    <n v="20"/>
    <n v="7"/>
    <x v="5"/>
    <n v="0.7407407407407407"/>
  </r>
  <r>
    <x v="180"/>
    <x v="0"/>
    <s v="TAB-9498"/>
    <n v="46"/>
    <n v="40"/>
    <n v="6"/>
    <x v="5"/>
    <n v="0.86956521739130432"/>
  </r>
  <r>
    <x v="180"/>
    <x v="1"/>
    <s v="SYR-6325"/>
    <n v="81"/>
    <n v="72"/>
    <n v="9"/>
    <x v="5"/>
    <n v="0.88888888888888884"/>
  </r>
  <r>
    <x v="180"/>
    <x v="2"/>
    <s v="CAP-7173"/>
    <n v="60"/>
    <n v="47"/>
    <n v="13"/>
    <x v="5"/>
    <n v="0.78333333333333333"/>
  </r>
  <r>
    <x v="180"/>
    <x v="3"/>
    <s v="OIN-8531"/>
    <n v="88"/>
    <n v="71"/>
    <n v="17"/>
    <x v="5"/>
    <n v="0.806818181818181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657598-059B-4A29-B24A-4F6A5CA6F7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O11" firstHeaderRow="1" firstDataRow="4" firstDataCol="1"/>
  <pivotFields count="11">
    <pivotField axis="axisCol"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Row" showAll="0">
      <items count="5">
        <item x="2"/>
        <item x="3"/>
        <item x="1"/>
        <item x="0"/>
        <item t="default"/>
      </items>
    </pivotField>
    <pivotField showAll="0"/>
    <pivotField showAll="0"/>
    <pivotField dataField="1" showAll="0"/>
    <pivotField dataField="1" showAll="0"/>
    <pivotField showAll="0">
      <items count="7">
        <item x="0"/>
        <item x="1"/>
        <item x="2"/>
        <item x="3"/>
        <item x="4"/>
        <item x="5"/>
        <item t="default"/>
      </items>
    </pivotField>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
  </rowFields>
  <rowItems count="5">
    <i>
      <x/>
    </i>
    <i>
      <x v="1"/>
    </i>
    <i>
      <x v="2"/>
    </i>
    <i>
      <x v="3"/>
    </i>
    <i t="grand">
      <x/>
    </i>
  </rowItems>
  <colFields count="3">
    <field x="-2"/>
    <field x="9"/>
    <field x="0"/>
  </colFields>
  <colItems count="14">
    <i>
      <x/>
      <x v="1"/>
    </i>
    <i r="1">
      <x v="2"/>
    </i>
    <i r="1">
      <x v="3"/>
    </i>
    <i r="1">
      <x v="4"/>
    </i>
    <i r="1">
      <x v="5"/>
    </i>
    <i r="1">
      <x v="6"/>
    </i>
    <i i="1">
      <x v="1"/>
      <x v="1"/>
    </i>
    <i r="1" i="1">
      <x v="2"/>
    </i>
    <i r="1" i="1">
      <x v="3"/>
    </i>
    <i r="1" i="1">
      <x v="4"/>
    </i>
    <i r="1" i="1">
      <x v="5"/>
    </i>
    <i r="1" i="1">
      <x v="6"/>
    </i>
    <i t="grand">
      <x/>
    </i>
    <i t="grand" i="1">
      <x/>
    </i>
  </colItems>
  <dataFields count="2">
    <dataField name="Sum of Passed" fld="4" baseField="0" baseItem="0"/>
    <dataField name="Sum of Failed" fld="5" baseField="0" baseItem="0"/>
  </dataFields>
  <formats count="1">
    <format dxfId="16">
      <pivotArea type="all" dataOnly="0" outline="0" fieldPosition="0"/>
    </format>
  </formats>
  <chartFormats count="180">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2"/>
          </reference>
        </references>
      </pivotArea>
    </chartFormat>
    <chartFormat chart="0" format="2" series="1">
      <pivotArea type="data" outline="0" fieldPosition="0">
        <references count="2">
          <reference field="4294967294" count="1" selected="0">
            <x v="0"/>
          </reference>
          <reference field="9" count="1" selected="0">
            <x v="3"/>
          </reference>
        </references>
      </pivotArea>
    </chartFormat>
    <chartFormat chart="0" format="3" series="1">
      <pivotArea type="data" outline="0" fieldPosition="0">
        <references count="2">
          <reference field="4294967294" count="1" selected="0">
            <x v="0"/>
          </reference>
          <reference field="9" count="1" selected="0">
            <x v="4"/>
          </reference>
        </references>
      </pivotArea>
    </chartFormat>
    <chartFormat chart="0" format="4" series="1">
      <pivotArea type="data" outline="0" fieldPosition="0">
        <references count="2">
          <reference field="4294967294" count="1" selected="0">
            <x v="0"/>
          </reference>
          <reference field="9" count="1" selected="0">
            <x v="5"/>
          </reference>
        </references>
      </pivotArea>
    </chartFormat>
    <chartFormat chart="0" format="5" series="1">
      <pivotArea type="data" outline="0" fieldPosition="0">
        <references count="2">
          <reference field="4294967294" count="1" selected="0">
            <x v="0"/>
          </reference>
          <reference field="9" count="1" selected="0">
            <x v="6"/>
          </reference>
        </references>
      </pivotArea>
    </chartFormat>
    <chartFormat chart="0" format="6" series="1">
      <pivotArea type="data" outline="0" fieldPosition="0">
        <references count="2">
          <reference field="4294967294" count="1" selected="0">
            <x v="1"/>
          </reference>
          <reference field="9" count="1" selected="0">
            <x v="1"/>
          </reference>
        </references>
      </pivotArea>
    </chartFormat>
    <chartFormat chart="0" format="7" series="1">
      <pivotArea type="data" outline="0" fieldPosition="0">
        <references count="2">
          <reference field="4294967294" count="1" selected="0">
            <x v="1"/>
          </reference>
          <reference field="9" count="1" selected="0">
            <x v="2"/>
          </reference>
        </references>
      </pivotArea>
    </chartFormat>
    <chartFormat chart="0" format="8" series="1">
      <pivotArea type="data" outline="0" fieldPosition="0">
        <references count="2">
          <reference field="4294967294" count="1" selected="0">
            <x v="1"/>
          </reference>
          <reference field="9" count="1" selected="0">
            <x v="3"/>
          </reference>
        </references>
      </pivotArea>
    </chartFormat>
    <chartFormat chart="0" format="9" series="1">
      <pivotArea type="data" outline="0" fieldPosition="0">
        <references count="2">
          <reference field="4294967294" count="1" selected="0">
            <x v="1"/>
          </reference>
          <reference field="9" count="1" selected="0">
            <x v="4"/>
          </reference>
        </references>
      </pivotArea>
    </chartFormat>
    <chartFormat chart="0" format="10" series="1">
      <pivotArea type="data" outline="0" fieldPosition="0">
        <references count="2">
          <reference field="4294967294" count="1" selected="0">
            <x v="1"/>
          </reference>
          <reference field="9" count="1" selected="0">
            <x v="5"/>
          </reference>
        </references>
      </pivotArea>
    </chartFormat>
    <chartFormat chart="0" format="11" series="1">
      <pivotArea type="data" outline="0" fieldPosition="0">
        <references count="2">
          <reference field="4294967294" count="1" selected="0">
            <x v="1"/>
          </reference>
          <reference field="9" count="1" selected="0">
            <x v="6"/>
          </reference>
        </references>
      </pivotArea>
    </chartFormat>
    <chartFormat chart="0" format="12">
      <pivotArea type="data" outline="0" fieldPosition="0">
        <references count="3">
          <reference field="4294967294" count="1" selected="0">
            <x v="0"/>
          </reference>
          <reference field="1" count="1" selected="0">
            <x v="0"/>
          </reference>
          <reference field="9" count="1" selected="0">
            <x v="1"/>
          </reference>
        </references>
      </pivotArea>
    </chartFormat>
    <chartFormat chart="0" format="13">
      <pivotArea type="data" outline="0" fieldPosition="0">
        <references count="3">
          <reference field="4294967294" count="1" selected="0">
            <x v="0"/>
          </reference>
          <reference field="1" count="1" selected="0">
            <x v="1"/>
          </reference>
          <reference field="9" count="1" selected="0">
            <x v="1"/>
          </reference>
        </references>
      </pivotArea>
    </chartFormat>
    <chartFormat chart="0" format="14">
      <pivotArea type="data" outline="0" fieldPosition="0">
        <references count="3">
          <reference field="4294967294" count="1" selected="0">
            <x v="0"/>
          </reference>
          <reference field="1" count="1" selected="0">
            <x v="2"/>
          </reference>
          <reference field="9" count="1" selected="0">
            <x v="1"/>
          </reference>
        </references>
      </pivotArea>
    </chartFormat>
    <chartFormat chart="0" format="15">
      <pivotArea type="data" outline="0" fieldPosition="0">
        <references count="3">
          <reference field="4294967294" count="1" selected="0">
            <x v="0"/>
          </reference>
          <reference field="1" count="1" selected="0">
            <x v="3"/>
          </reference>
          <reference field="9" count="1" selected="0">
            <x v="1"/>
          </reference>
        </references>
      </pivotArea>
    </chartFormat>
    <chartFormat chart="0" format="16">
      <pivotArea type="data" outline="0" fieldPosition="0">
        <references count="3">
          <reference field="4294967294" count="1" selected="0">
            <x v="0"/>
          </reference>
          <reference field="1" count="1" selected="0">
            <x v="0"/>
          </reference>
          <reference field="9" count="1" selected="0">
            <x v="2"/>
          </reference>
        </references>
      </pivotArea>
    </chartFormat>
    <chartFormat chart="0" format="17">
      <pivotArea type="data" outline="0" fieldPosition="0">
        <references count="3">
          <reference field="4294967294" count="1" selected="0">
            <x v="0"/>
          </reference>
          <reference field="1" count="1" selected="0">
            <x v="1"/>
          </reference>
          <reference field="9" count="1" selected="0">
            <x v="2"/>
          </reference>
        </references>
      </pivotArea>
    </chartFormat>
    <chartFormat chart="0" format="18">
      <pivotArea type="data" outline="0" fieldPosition="0">
        <references count="3">
          <reference field="4294967294" count="1" selected="0">
            <x v="0"/>
          </reference>
          <reference field="1" count="1" selected="0">
            <x v="2"/>
          </reference>
          <reference field="9" count="1" selected="0">
            <x v="2"/>
          </reference>
        </references>
      </pivotArea>
    </chartFormat>
    <chartFormat chart="0" format="19">
      <pivotArea type="data" outline="0" fieldPosition="0">
        <references count="3">
          <reference field="4294967294" count="1" selected="0">
            <x v="0"/>
          </reference>
          <reference field="1" count="1" selected="0">
            <x v="3"/>
          </reference>
          <reference field="9" count="1" selected="0">
            <x v="2"/>
          </reference>
        </references>
      </pivotArea>
    </chartFormat>
    <chartFormat chart="0" format="20">
      <pivotArea type="data" outline="0" fieldPosition="0">
        <references count="3">
          <reference field="4294967294" count="1" selected="0">
            <x v="0"/>
          </reference>
          <reference field="1" count="1" selected="0">
            <x v="0"/>
          </reference>
          <reference field="9" count="1" selected="0">
            <x v="3"/>
          </reference>
        </references>
      </pivotArea>
    </chartFormat>
    <chartFormat chart="0" format="21">
      <pivotArea type="data" outline="0" fieldPosition="0">
        <references count="3">
          <reference field="4294967294" count="1" selected="0">
            <x v="0"/>
          </reference>
          <reference field="1" count="1" selected="0">
            <x v="1"/>
          </reference>
          <reference field="9" count="1" selected="0">
            <x v="3"/>
          </reference>
        </references>
      </pivotArea>
    </chartFormat>
    <chartFormat chart="0" format="22">
      <pivotArea type="data" outline="0" fieldPosition="0">
        <references count="3">
          <reference field="4294967294" count="1" selected="0">
            <x v="0"/>
          </reference>
          <reference field="1" count="1" selected="0">
            <x v="2"/>
          </reference>
          <reference field="9" count="1" selected="0">
            <x v="3"/>
          </reference>
        </references>
      </pivotArea>
    </chartFormat>
    <chartFormat chart="0" format="23">
      <pivotArea type="data" outline="0" fieldPosition="0">
        <references count="3">
          <reference field="4294967294" count="1" selected="0">
            <x v="0"/>
          </reference>
          <reference field="1" count="1" selected="0">
            <x v="3"/>
          </reference>
          <reference field="9" count="1" selected="0">
            <x v="3"/>
          </reference>
        </references>
      </pivotArea>
    </chartFormat>
    <chartFormat chart="0" format="24">
      <pivotArea type="data" outline="0" fieldPosition="0">
        <references count="3">
          <reference field="4294967294" count="1" selected="0">
            <x v="0"/>
          </reference>
          <reference field="1" count="1" selected="0">
            <x v="0"/>
          </reference>
          <reference field="9" count="1" selected="0">
            <x v="4"/>
          </reference>
        </references>
      </pivotArea>
    </chartFormat>
    <chartFormat chart="0" format="25">
      <pivotArea type="data" outline="0" fieldPosition="0">
        <references count="3">
          <reference field="4294967294" count="1" selected="0">
            <x v="0"/>
          </reference>
          <reference field="1" count="1" selected="0">
            <x v="1"/>
          </reference>
          <reference field="9" count="1" selected="0">
            <x v="4"/>
          </reference>
        </references>
      </pivotArea>
    </chartFormat>
    <chartFormat chart="0" format="26">
      <pivotArea type="data" outline="0" fieldPosition="0">
        <references count="3">
          <reference field="4294967294" count="1" selected="0">
            <x v="0"/>
          </reference>
          <reference field="1" count="1" selected="0">
            <x v="2"/>
          </reference>
          <reference field="9" count="1" selected="0">
            <x v="4"/>
          </reference>
        </references>
      </pivotArea>
    </chartFormat>
    <chartFormat chart="0" format="27">
      <pivotArea type="data" outline="0" fieldPosition="0">
        <references count="3">
          <reference field="4294967294" count="1" selected="0">
            <x v="0"/>
          </reference>
          <reference field="1" count="1" selected="0">
            <x v="3"/>
          </reference>
          <reference field="9" count="1" selected="0">
            <x v="4"/>
          </reference>
        </references>
      </pivotArea>
    </chartFormat>
    <chartFormat chart="0" format="28">
      <pivotArea type="data" outline="0" fieldPosition="0">
        <references count="3">
          <reference field="4294967294" count="1" selected="0">
            <x v="0"/>
          </reference>
          <reference field="1" count="1" selected="0">
            <x v="0"/>
          </reference>
          <reference field="9" count="1" selected="0">
            <x v="5"/>
          </reference>
        </references>
      </pivotArea>
    </chartFormat>
    <chartFormat chart="0" format="29">
      <pivotArea type="data" outline="0" fieldPosition="0">
        <references count="3">
          <reference field="4294967294" count="1" selected="0">
            <x v="0"/>
          </reference>
          <reference field="1" count="1" selected="0">
            <x v="1"/>
          </reference>
          <reference field="9" count="1" selected="0">
            <x v="5"/>
          </reference>
        </references>
      </pivotArea>
    </chartFormat>
    <chartFormat chart="0" format="30">
      <pivotArea type="data" outline="0" fieldPosition="0">
        <references count="3">
          <reference field="4294967294" count="1" selected="0">
            <x v="0"/>
          </reference>
          <reference field="1" count="1" selected="0">
            <x v="2"/>
          </reference>
          <reference field="9" count="1" selected="0">
            <x v="5"/>
          </reference>
        </references>
      </pivotArea>
    </chartFormat>
    <chartFormat chart="0" format="31">
      <pivotArea type="data" outline="0" fieldPosition="0">
        <references count="3">
          <reference field="4294967294" count="1" selected="0">
            <x v="0"/>
          </reference>
          <reference field="1" count="1" selected="0">
            <x v="3"/>
          </reference>
          <reference field="9" count="1" selected="0">
            <x v="5"/>
          </reference>
        </references>
      </pivotArea>
    </chartFormat>
    <chartFormat chart="0" format="32">
      <pivotArea type="data" outline="0" fieldPosition="0">
        <references count="3">
          <reference field="4294967294" count="1" selected="0">
            <x v="0"/>
          </reference>
          <reference field="1" count="1" selected="0">
            <x v="0"/>
          </reference>
          <reference field="9" count="1" selected="0">
            <x v="6"/>
          </reference>
        </references>
      </pivotArea>
    </chartFormat>
    <chartFormat chart="0" format="33">
      <pivotArea type="data" outline="0" fieldPosition="0">
        <references count="3">
          <reference field="4294967294" count="1" selected="0">
            <x v="0"/>
          </reference>
          <reference field="1" count="1" selected="0">
            <x v="1"/>
          </reference>
          <reference field="9" count="1" selected="0">
            <x v="6"/>
          </reference>
        </references>
      </pivotArea>
    </chartFormat>
    <chartFormat chart="0" format="34">
      <pivotArea type="data" outline="0" fieldPosition="0">
        <references count="3">
          <reference field="4294967294" count="1" selected="0">
            <x v="0"/>
          </reference>
          <reference field="1" count="1" selected="0">
            <x v="2"/>
          </reference>
          <reference field="9" count="1" selected="0">
            <x v="6"/>
          </reference>
        </references>
      </pivotArea>
    </chartFormat>
    <chartFormat chart="0" format="35">
      <pivotArea type="data" outline="0" fieldPosition="0">
        <references count="3">
          <reference field="4294967294" count="1" selected="0">
            <x v="0"/>
          </reference>
          <reference field="1" count="1" selected="0">
            <x v="3"/>
          </reference>
          <reference field="9" count="1" selected="0">
            <x v="6"/>
          </reference>
        </references>
      </pivotArea>
    </chartFormat>
    <chartFormat chart="0" format="36">
      <pivotArea type="data" outline="0" fieldPosition="0">
        <references count="3">
          <reference field="4294967294" count="1" selected="0">
            <x v="1"/>
          </reference>
          <reference field="1" count="1" selected="0">
            <x v="0"/>
          </reference>
          <reference field="9" count="1" selected="0">
            <x v="1"/>
          </reference>
        </references>
      </pivotArea>
    </chartFormat>
    <chartFormat chart="0" format="37">
      <pivotArea type="data" outline="0" fieldPosition="0">
        <references count="3">
          <reference field="4294967294" count="1" selected="0">
            <x v="1"/>
          </reference>
          <reference field="1" count="1" selected="0">
            <x v="1"/>
          </reference>
          <reference field="9" count="1" selected="0">
            <x v="1"/>
          </reference>
        </references>
      </pivotArea>
    </chartFormat>
    <chartFormat chart="0" format="38">
      <pivotArea type="data" outline="0" fieldPosition="0">
        <references count="3">
          <reference field="4294967294" count="1" selected="0">
            <x v="1"/>
          </reference>
          <reference field="1" count="1" selected="0">
            <x v="2"/>
          </reference>
          <reference field="9" count="1" selected="0">
            <x v="1"/>
          </reference>
        </references>
      </pivotArea>
    </chartFormat>
    <chartFormat chart="0" format="39">
      <pivotArea type="data" outline="0" fieldPosition="0">
        <references count="3">
          <reference field="4294967294" count="1" selected="0">
            <x v="1"/>
          </reference>
          <reference field="1" count="1" selected="0">
            <x v="3"/>
          </reference>
          <reference field="9" count="1" selected="0">
            <x v="1"/>
          </reference>
        </references>
      </pivotArea>
    </chartFormat>
    <chartFormat chart="0" format="40">
      <pivotArea type="data" outline="0" fieldPosition="0">
        <references count="3">
          <reference field="4294967294" count="1" selected="0">
            <x v="1"/>
          </reference>
          <reference field="1" count="1" selected="0">
            <x v="0"/>
          </reference>
          <reference field="9" count="1" selected="0">
            <x v="2"/>
          </reference>
        </references>
      </pivotArea>
    </chartFormat>
    <chartFormat chart="0" format="41">
      <pivotArea type="data" outline="0" fieldPosition="0">
        <references count="3">
          <reference field="4294967294" count="1" selected="0">
            <x v="1"/>
          </reference>
          <reference field="1" count="1" selected="0">
            <x v="1"/>
          </reference>
          <reference field="9" count="1" selected="0">
            <x v="2"/>
          </reference>
        </references>
      </pivotArea>
    </chartFormat>
    <chartFormat chart="0" format="42">
      <pivotArea type="data" outline="0" fieldPosition="0">
        <references count="3">
          <reference field="4294967294" count="1" selected="0">
            <x v="1"/>
          </reference>
          <reference field="1" count="1" selected="0">
            <x v="2"/>
          </reference>
          <reference field="9" count="1" selected="0">
            <x v="2"/>
          </reference>
        </references>
      </pivotArea>
    </chartFormat>
    <chartFormat chart="0" format="43">
      <pivotArea type="data" outline="0" fieldPosition="0">
        <references count="3">
          <reference field="4294967294" count="1" selected="0">
            <x v="1"/>
          </reference>
          <reference field="1" count="1" selected="0">
            <x v="3"/>
          </reference>
          <reference field="9" count="1" selected="0">
            <x v="2"/>
          </reference>
        </references>
      </pivotArea>
    </chartFormat>
    <chartFormat chart="0" format="44">
      <pivotArea type="data" outline="0" fieldPosition="0">
        <references count="3">
          <reference field="4294967294" count="1" selected="0">
            <x v="1"/>
          </reference>
          <reference field="1" count="1" selected="0">
            <x v="0"/>
          </reference>
          <reference field="9" count="1" selected="0">
            <x v="3"/>
          </reference>
        </references>
      </pivotArea>
    </chartFormat>
    <chartFormat chart="0" format="45">
      <pivotArea type="data" outline="0" fieldPosition="0">
        <references count="3">
          <reference field="4294967294" count="1" selected="0">
            <x v="1"/>
          </reference>
          <reference field="1" count="1" selected="0">
            <x v="1"/>
          </reference>
          <reference field="9" count="1" selected="0">
            <x v="3"/>
          </reference>
        </references>
      </pivotArea>
    </chartFormat>
    <chartFormat chart="0" format="46">
      <pivotArea type="data" outline="0" fieldPosition="0">
        <references count="3">
          <reference field="4294967294" count="1" selected="0">
            <x v="1"/>
          </reference>
          <reference field="1" count="1" selected="0">
            <x v="2"/>
          </reference>
          <reference field="9" count="1" selected="0">
            <x v="3"/>
          </reference>
        </references>
      </pivotArea>
    </chartFormat>
    <chartFormat chart="0" format="47">
      <pivotArea type="data" outline="0" fieldPosition="0">
        <references count="3">
          <reference field="4294967294" count="1" selected="0">
            <x v="1"/>
          </reference>
          <reference field="1" count="1" selected="0">
            <x v="3"/>
          </reference>
          <reference field="9" count="1" selected="0">
            <x v="3"/>
          </reference>
        </references>
      </pivotArea>
    </chartFormat>
    <chartFormat chart="0" format="48">
      <pivotArea type="data" outline="0" fieldPosition="0">
        <references count="3">
          <reference field="4294967294" count="1" selected="0">
            <x v="1"/>
          </reference>
          <reference field="1" count="1" selected="0">
            <x v="0"/>
          </reference>
          <reference field="9" count="1" selected="0">
            <x v="4"/>
          </reference>
        </references>
      </pivotArea>
    </chartFormat>
    <chartFormat chart="0" format="49">
      <pivotArea type="data" outline="0" fieldPosition="0">
        <references count="3">
          <reference field="4294967294" count="1" selected="0">
            <x v="1"/>
          </reference>
          <reference field="1" count="1" selected="0">
            <x v="1"/>
          </reference>
          <reference field="9" count="1" selected="0">
            <x v="4"/>
          </reference>
        </references>
      </pivotArea>
    </chartFormat>
    <chartFormat chart="0" format="50">
      <pivotArea type="data" outline="0" fieldPosition="0">
        <references count="3">
          <reference field="4294967294" count="1" selected="0">
            <x v="1"/>
          </reference>
          <reference field="1" count="1" selected="0">
            <x v="2"/>
          </reference>
          <reference field="9" count="1" selected="0">
            <x v="4"/>
          </reference>
        </references>
      </pivotArea>
    </chartFormat>
    <chartFormat chart="0" format="51">
      <pivotArea type="data" outline="0" fieldPosition="0">
        <references count="3">
          <reference field="4294967294" count="1" selected="0">
            <x v="1"/>
          </reference>
          <reference field="1" count="1" selected="0">
            <x v="3"/>
          </reference>
          <reference field="9" count="1" selected="0">
            <x v="4"/>
          </reference>
        </references>
      </pivotArea>
    </chartFormat>
    <chartFormat chart="0" format="52">
      <pivotArea type="data" outline="0" fieldPosition="0">
        <references count="3">
          <reference field="4294967294" count="1" selected="0">
            <x v="1"/>
          </reference>
          <reference field="1" count="1" selected="0">
            <x v="0"/>
          </reference>
          <reference field="9" count="1" selected="0">
            <x v="5"/>
          </reference>
        </references>
      </pivotArea>
    </chartFormat>
    <chartFormat chart="0" format="53">
      <pivotArea type="data" outline="0" fieldPosition="0">
        <references count="3">
          <reference field="4294967294" count="1" selected="0">
            <x v="1"/>
          </reference>
          <reference field="1" count="1" selected="0">
            <x v="1"/>
          </reference>
          <reference field="9" count="1" selected="0">
            <x v="5"/>
          </reference>
        </references>
      </pivotArea>
    </chartFormat>
    <chartFormat chart="0" format="54">
      <pivotArea type="data" outline="0" fieldPosition="0">
        <references count="3">
          <reference field="4294967294" count="1" selected="0">
            <x v="1"/>
          </reference>
          <reference field="1" count="1" selected="0">
            <x v="2"/>
          </reference>
          <reference field="9" count="1" selected="0">
            <x v="5"/>
          </reference>
        </references>
      </pivotArea>
    </chartFormat>
    <chartFormat chart="0" format="55">
      <pivotArea type="data" outline="0" fieldPosition="0">
        <references count="3">
          <reference field="4294967294" count="1" selected="0">
            <x v="1"/>
          </reference>
          <reference field="1" count="1" selected="0">
            <x v="3"/>
          </reference>
          <reference field="9" count="1" selected="0">
            <x v="5"/>
          </reference>
        </references>
      </pivotArea>
    </chartFormat>
    <chartFormat chart="0" format="56">
      <pivotArea type="data" outline="0" fieldPosition="0">
        <references count="3">
          <reference field="4294967294" count="1" selected="0">
            <x v="1"/>
          </reference>
          <reference field="1" count="1" selected="0">
            <x v="0"/>
          </reference>
          <reference field="9" count="1" selected="0">
            <x v="6"/>
          </reference>
        </references>
      </pivotArea>
    </chartFormat>
    <chartFormat chart="0" format="57">
      <pivotArea type="data" outline="0" fieldPosition="0">
        <references count="3">
          <reference field="4294967294" count="1" selected="0">
            <x v="1"/>
          </reference>
          <reference field="1" count="1" selected="0">
            <x v="1"/>
          </reference>
          <reference field="9" count="1" selected="0">
            <x v="6"/>
          </reference>
        </references>
      </pivotArea>
    </chartFormat>
    <chartFormat chart="0" format="58">
      <pivotArea type="data" outline="0" fieldPosition="0">
        <references count="3">
          <reference field="4294967294" count="1" selected="0">
            <x v="1"/>
          </reference>
          <reference field="1" count="1" selected="0">
            <x v="2"/>
          </reference>
          <reference field="9" count="1" selected="0">
            <x v="6"/>
          </reference>
        </references>
      </pivotArea>
    </chartFormat>
    <chartFormat chart="0" format="59">
      <pivotArea type="data" outline="0" fieldPosition="0">
        <references count="3">
          <reference field="4294967294" count="1" selected="0">
            <x v="1"/>
          </reference>
          <reference field="1" count="1" selected="0">
            <x v="3"/>
          </reference>
          <reference field="9" count="1" selected="0">
            <x v="6"/>
          </reference>
        </references>
      </pivotArea>
    </chartFormat>
    <chartFormat chart="5" format="60" series="1">
      <pivotArea type="data" outline="0" fieldPosition="0">
        <references count="2">
          <reference field="4294967294" count="1" selected="0">
            <x v="0"/>
          </reference>
          <reference field="9" count="1" selected="0">
            <x v="1"/>
          </reference>
        </references>
      </pivotArea>
    </chartFormat>
    <chartFormat chart="5" format="61">
      <pivotArea type="data" outline="0" fieldPosition="0">
        <references count="3">
          <reference field="4294967294" count="1" selected="0">
            <x v="0"/>
          </reference>
          <reference field="1" count="1" selected="0">
            <x v="0"/>
          </reference>
          <reference field="9" count="1" selected="0">
            <x v="1"/>
          </reference>
        </references>
      </pivotArea>
    </chartFormat>
    <chartFormat chart="5" format="62">
      <pivotArea type="data" outline="0" fieldPosition="0">
        <references count="3">
          <reference field="4294967294" count="1" selected="0">
            <x v="0"/>
          </reference>
          <reference field="1" count="1" selected="0">
            <x v="1"/>
          </reference>
          <reference field="9" count="1" selected="0">
            <x v="1"/>
          </reference>
        </references>
      </pivotArea>
    </chartFormat>
    <chartFormat chart="5" format="63">
      <pivotArea type="data" outline="0" fieldPosition="0">
        <references count="3">
          <reference field="4294967294" count="1" selected="0">
            <x v="0"/>
          </reference>
          <reference field="1" count="1" selected="0">
            <x v="2"/>
          </reference>
          <reference field="9" count="1" selected="0">
            <x v="1"/>
          </reference>
        </references>
      </pivotArea>
    </chartFormat>
    <chartFormat chart="5" format="64">
      <pivotArea type="data" outline="0" fieldPosition="0">
        <references count="3">
          <reference field="4294967294" count="1" selected="0">
            <x v="0"/>
          </reference>
          <reference field="1" count="1" selected="0">
            <x v="3"/>
          </reference>
          <reference field="9" count="1" selected="0">
            <x v="1"/>
          </reference>
        </references>
      </pivotArea>
    </chartFormat>
    <chartFormat chart="5" format="65" series="1">
      <pivotArea type="data" outline="0" fieldPosition="0">
        <references count="2">
          <reference field="4294967294" count="1" selected="0">
            <x v="0"/>
          </reference>
          <reference field="9" count="1" selected="0">
            <x v="2"/>
          </reference>
        </references>
      </pivotArea>
    </chartFormat>
    <chartFormat chart="5" format="66">
      <pivotArea type="data" outline="0" fieldPosition="0">
        <references count="3">
          <reference field="4294967294" count="1" selected="0">
            <x v="0"/>
          </reference>
          <reference field="1" count="1" selected="0">
            <x v="0"/>
          </reference>
          <reference field="9" count="1" selected="0">
            <x v="2"/>
          </reference>
        </references>
      </pivotArea>
    </chartFormat>
    <chartFormat chart="5" format="67">
      <pivotArea type="data" outline="0" fieldPosition="0">
        <references count="3">
          <reference field="4294967294" count="1" selected="0">
            <x v="0"/>
          </reference>
          <reference field="1" count="1" selected="0">
            <x v="1"/>
          </reference>
          <reference field="9" count="1" selected="0">
            <x v="2"/>
          </reference>
        </references>
      </pivotArea>
    </chartFormat>
    <chartFormat chart="5" format="68">
      <pivotArea type="data" outline="0" fieldPosition="0">
        <references count="3">
          <reference field="4294967294" count="1" selected="0">
            <x v="0"/>
          </reference>
          <reference field="1" count="1" selected="0">
            <x v="2"/>
          </reference>
          <reference field="9" count="1" selected="0">
            <x v="2"/>
          </reference>
        </references>
      </pivotArea>
    </chartFormat>
    <chartFormat chart="5" format="69">
      <pivotArea type="data" outline="0" fieldPosition="0">
        <references count="3">
          <reference field="4294967294" count="1" selected="0">
            <x v="0"/>
          </reference>
          <reference field="1" count="1" selected="0">
            <x v="3"/>
          </reference>
          <reference field="9" count="1" selected="0">
            <x v="2"/>
          </reference>
        </references>
      </pivotArea>
    </chartFormat>
    <chartFormat chart="5" format="70" series="1">
      <pivotArea type="data" outline="0" fieldPosition="0">
        <references count="2">
          <reference field="4294967294" count="1" selected="0">
            <x v="0"/>
          </reference>
          <reference field="9" count="1" selected="0">
            <x v="3"/>
          </reference>
        </references>
      </pivotArea>
    </chartFormat>
    <chartFormat chart="5" format="71">
      <pivotArea type="data" outline="0" fieldPosition="0">
        <references count="3">
          <reference field="4294967294" count="1" selected="0">
            <x v="0"/>
          </reference>
          <reference field="1" count="1" selected="0">
            <x v="0"/>
          </reference>
          <reference field="9" count="1" selected="0">
            <x v="3"/>
          </reference>
        </references>
      </pivotArea>
    </chartFormat>
    <chartFormat chart="5" format="72">
      <pivotArea type="data" outline="0" fieldPosition="0">
        <references count="3">
          <reference field="4294967294" count="1" selected="0">
            <x v="0"/>
          </reference>
          <reference field="1" count="1" selected="0">
            <x v="1"/>
          </reference>
          <reference field="9" count="1" selected="0">
            <x v="3"/>
          </reference>
        </references>
      </pivotArea>
    </chartFormat>
    <chartFormat chart="5" format="73">
      <pivotArea type="data" outline="0" fieldPosition="0">
        <references count="3">
          <reference field="4294967294" count="1" selected="0">
            <x v="0"/>
          </reference>
          <reference field="1" count="1" selected="0">
            <x v="2"/>
          </reference>
          <reference field="9" count="1" selected="0">
            <x v="3"/>
          </reference>
        </references>
      </pivotArea>
    </chartFormat>
    <chartFormat chart="5" format="74">
      <pivotArea type="data" outline="0" fieldPosition="0">
        <references count="3">
          <reference field="4294967294" count="1" selected="0">
            <x v="0"/>
          </reference>
          <reference field="1" count="1" selected="0">
            <x v="3"/>
          </reference>
          <reference field="9" count="1" selected="0">
            <x v="3"/>
          </reference>
        </references>
      </pivotArea>
    </chartFormat>
    <chartFormat chart="5" format="75" series="1">
      <pivotArea type="data" outline="0" fieldPosition="0">
        <references count="2">
          <reference field="4294967294" count="1" selected="0">
            <x v="0"/>
          </reference>
          <reference field="9" count="1" selected="0">
            <x v="4"/>
          </reference>
        </references>
      </pivotArea>
    </chartFormat>
    <chartFormat chart="5" format="76">
      <pivotArea type="data" outline="0" fieldPosition="0">
        <references count="3">
          <reference field="4294967294" count="1" selected="0">
            <x v="0"/>
          </reference>
          <reference field="1" count="1" selected="0">
            <x v="0"/>
          </reference>
          <reference field="9" count="1" selected="0">
            <x v="4"/>
          </reference>
        </references>
      </pivotArea>
    </chartFormat>
    <chartFormat chart="5" format="77">
      <pivotArea type="data" outline="0" fieldPosition="0">
        <references count="3">
          <reference field="4294967294" count="1" selected="0">
            <x v="0"/>
          </reference>
          <reference field="1" count="1" selected="0">
            <x v="1"/>
          </reference>
          <reference field="9" count="1" selected="0">
            <x v="4"/>
          </reference>
        </references>
      </pivotArea>
    </chartFormat>
    <chartFormat chart="5" format="78">
      <pivotArea type="data" outline="0" fieldPosition="0">
        <references count="3">
          <reference field="4294967294" count="1" selected="0">
            <x v="0"/>
          </reference>
          <reference field="1" count="1" selected="0">
            <x v="2"/>
          </reference>
          <reference field="9" count="1" selected="0">
            <x v="4"/>
          </reference>
        </references>
      </pivotArea>
    </chartFormat>
    <chartFormat chart="5" format="79">
      <pivotArea type="data" outline="0" fieldPosition="0">
        <references count="3">
          <reference field="4294967294" count="1" selected="0">
            <x v="0"/>
          </reference>
          <reference field="1" count="1" selected="0">
            <x v="3"/>
          </reference>
          <reference field="9" count="1" selected="0">
            <x v="4"/>
          </reference>
        </references>
      </pivotArea>
    </chartFormat>
    <chartFormat chart="5" format="80" series="1">
      <pivotArea type="data" outline="0" fieldPosition="0">
        <references count="2">
          <reference field="4294967294" count="1" selected="0">
            <x v="0"/>
          </reference>
          <reference field="9" count="1" selected="0">
            <x v="5"/>
          </reference>
        </references>
      </pivotArea>
    </chartFormat>
    <chartFormat chart="5" format="81">
      <pivotArea type="data" outline="0" fieldPosition="0">
        <references count="3">
          <reference field="4294967294" count="1" selected="0">
            <x v="0"/>
          </reference>
          <reference field="1" count="1" selected="0">
            <x v="0"/>
          </reference>
          <reference field="9" count="1" selected="0">
            <x v="5"/>
          </reference>
        </references>
      </pivotArea>
    </chartFormat>
    <chartFormat chart="5" format="82">
      <pivotArea type="data" outline="0" fieldPosition="0">
        <references count="3">
          <reference field="4294967294" count="1" selected="0">
            <x v="0"/>
          </reference>
          <reference field="1" count="1" selected="0">
            <x v="1"/>
          </reference>
          <reference field="9" count="1" selected="0">
            <x v="5"/>
          </reference>
        </references>
      </pivotArea>
    </chartFormat>
    <chartFormat chart="5" format="83">
      <pivotArea type="data" outline="0" fieldPosition="0">
        <references count="3">
          <reference field="4294967294" count="1" selected="0">
            <x v="0"/>
          </reference>
          <reference field="1" count="1" selected="0">
            <x v="2"/>
          </reference>
          <reference field="9" count="1" selected="0">
            <x v="5"/>
          </reference>
        </references>
      </pivotArea>
    </chartFormat>
    <chartFormat chart="5" format="84">
      <pivotArea type="data" outline="0" fieldPosition="0">
        <references count="3">
          <reference field="4294967294" count="1" selected="0">
            <x v="0"/>
          </reference>
          <reference field="1" count="1" selected="0">
            <x v="3"/>
          </reference>
          <reference field="9" count="1" selected="0">
            <x v="5"/>
          </reference>
        </references>
      </pivotArea>
    </chartFormat>
    <chartFormat chart="5" format="85" series="1">
      <pivotArea type="data" outline="0" fieldPosition="0">
        <references count="2">
          <reference field="4294967294" count="1" selected="0">
            <x v="0"/>
          </reference>
          <reference field="9" count="1" selected="0">
            <x v="6"/>
          </reference>
        </references>
      </pivotArea>
    </chartFormat>
    <chartFormat chart="5" format="86">
      <pivotArea type="data" outline="0" fieldPosition="0">
        <references count="3">
          <reference field="4294967294" count="1" selected="0">
            <x v="0"/>
          </reference>
          <reference field="1" count="1" selected="0">
            <x v="0"/>
          </reference>
          <reference field="9" count="1" selected="0">
            <x v="6"/>
          </reference>
        </references>
      </pivotArea>
    </chartFormat>
    <chartFormat chart="5" format="87">
      <pivotArea type="data" outline="0" fieldPosition="0">
        <references count="3">
          <reference field="4294967294" count="1" selected="0">
            <x v="0"/>
          </reference>
          <reference field="1" count="1" selected="0">
            <x v="1"/>
          </reference>
          <reference field="9" count="1" selected="0">
            <x v="6"/>
          </reference>
        </references>
      </pivotArea>
    </chartFormat>
    <chartFormat chart="5" format="88">
      <pivotArea type="data" outline="0" fieldPosition="0">
        <references count="3">
          <reference field="4294967294" count="1" selected="0">
            <x v="0"/>
          </reference>
          <reference field="1" count="1" selected="0">
            <x v="2"/>
          </reference>
          <reference field="9" count="1" selected="0">
            <x v="6"/>
          </reference>
        </references>
      </pivotArea>
    </chartFormat>
    <chartFormat chart="5" format="89">
      <pivotArea type="data" outline="0" fieldPosition="0">
        <references count="3">
          <reference field="4294967294" count="1" selected="0">
            <x v="0"/>
          </reference>
          <reference field="1" count="1" selected="0">
            <x v="3"/>
          </reference>
          <reference field="9" count="1" selected="0">
            <x v="6"/>
          </reference>
        </references>
      </pivotArea>
    </chartFormat>
    <chartFormat chart="5" format="90" series="1">
      <pivotArea type="data" outline="0" fieldPosition="0">
        <references count="2">
          <reference field="4294967294" count="1" selected="0">
            <x v="1"/>
          </reference>
          <reference field="9" count="1" selected="0">
            <x v="1"/>
          </reference>
        </references>
      </pivotArea>
    </chartFormat>
    <chartFormat chart="5" format="91">
      <pivotArea type="data" outline="0" fieldPosition="0">
        <references count="3">
          <reference field="4294967294" count="1" selected="0">
            <x v="1"/>
          </reference>
          <reference field="1" count="1" selected="0">
            <x v="0"/>
          </reference>
          <reference field="9" count="1" selected="0">
            <x v="1"/>
          </reference>
        </references>
      </pivotArea>
    </chartFormat>
    <chartFormat chart="5" format="92">
      <pivotArea type="data" outline="0" fieldPosition="0">
        <references count="3">
          <reference field="4294967294" count="1" selected="0">
            <x v="1"/>
          </reference>
          <reference field="1" count="1" selected="0">
            <x v="1"/>
          </reference>
          <reference field="9" count="1" selected="0">
            <x v="1"/>
          </reference>
        </references>
      </pivotArea>
    </chartFormat>
    <chartFormat chart="5" format="93">
      <pivotArea type="data" outline="0" fieldPosition="0">
        <references count="3">
          <reference field="4294967294" count="1" selected="0">
            <x v="1"/>
          </reference>
          <reference field="1" count="1" selected="0">
            <x v="2"/>
          </reference>
          <reference field="9" count="1" selected="0">
            <x v="1"/>
          </reference>
        </references>
      </pivotArea>
    </chartFormat>
    <chartFormat chart="5" format="94">
      <pivotArea type="data" outline="0" fieldPosition="0">
        <references count="3">
          <reference field="4294967294" count="1" selected="0">
            <x v="1"/>
          </reference>
          <reference field="1" count="1" selected="0">
            <x v="3"/>
          </reference>
          <reference field="9" count="1" selected="0">
            <x v="1"/>
          </reference>
        </references>
      </pivotArea>
    </chartFormat>
    <chartFormat chart="5" format="95" series="1">
      <pivotArea type="data" outline="0" fieldPosition="0">
        <references count="2">
          <reference field="4294967294" count="1" selected="0">
            <x v="1"/>
          </reference>
          <reference field="9" count="1" selected="0">
            <x v="2"/>
          </reference>
        </references>
      </pivotArea>
    </chartFormat>
    <chartFormat chart="5" format="96">
      <pivotArea type="data" outline="0" fieldPosition="0">
        <references count="3">
          <reference field="4294967294" count="1" selected="0">
            <x v="1"/>
          </reference>
          <reference field="1" count="1" selected="0">
            <x v="0"/>
          </reference>
          <reference field="9" count="1" selected="0">
            <x v="2"/>
          </reference>
        </references>
      </pivotArea>
    </chartFormat>
    <chartFormat chart="5" format="97">
      <pivotArea type="data" outline="0" fieldPosition="0">
        <references count="3">
          <reference field="4294967294" count="1" selected="0">
            <x v="1"/>
          </reference>
          <reference field="1" count="1" selected="0">
            <x v="1"/>
          </reference>
          <reference field="9" count="1" selected="0">
            <x v="2"/>
          </reference>
        </references>
      </pivotArea>
    </chartFormat>
    <chartFormat chart="5" format="98">
      <pivotArea type="data" outline="0" fieldPosition="0">
        <references count="3">
          <reference field="4294967294" count="1" selected="0">
            <x v="1"/>
          </reference>
          <reference field="1" count="1" selected="0">
            <x v="2"/>
          </reference>
          <reference field="9" count="1" selected="0">
            <x v="2"/>
          </reference>
        </references>
      </pivotArea>
    </chartFormat>
    <chartFormat chart="5" format="99">
      <pivotArea type="data" outline="0" fieldPosition="0">
        <references count="3">
          <reference field="4294967294" count="1" selected="0">
            <x v="1"/>
          </reference>
          <reference field="1" count="1" selected="0">
            <x v="3"/>
          </reference>
          <reference field="9" count="1" selected="0">
            <x v="2"/>
          </reference>
        </references>
      </pivotArea>
    </chartFormat>
    <chartFormat chart="5" format="100" series="1">
      <pivotArea type="data" outline="0" fieldPosition="0">
        <references count="2">
          <reference field="4294967294" count="1" selected="0">
            <x v="1"/>
          </reference>
          <reference field="9" count="1" selected="0">
            <x v="3"/>
          </reference>
        </references>
      </pivotArea>
    </chartFormat>
    <chartFormat chart="5" format="101">
      <pivotArea type="data" outline="0" fieldPosition="0">
        <references count="3">
          <reference field="4294967294" count="1" selected="0">
            <x v="1"/>
          </reference>
          <reference field="1" count="1" selected="0">
            <x v="0"/>
          </reference>
          <reference field="9" count="1" selected="0">
            <x v="3"/>
          </reference>
        </references>
      </pivotArea>
    </chartFormat>
    <chartFormat chart="5" format="102">
      <pivotArea type="data" outline="0" fieldPosition="0">
        <references count="3">
          <reference field="4294967294" count="1" selected="0">
            <x v="1"/>
          </reference>
          <reference field="1" count="1" selected="0">
            <x v="1"/>
          </reference>
          <reference field="9" count="1" selected="0">
            <x v="3"/>
          </reference>
        </references>
      </pivotArea>
    </chartFormat>
    <chartFormat chart="5" format="103">
      <pivotArea type="data" outline="0" fieldPosition="0">
        <references count="3">
          <reference field="4294967294" count="1" selected="0">
            <x v="1"/>
          </reference>
          <reference field="1" count="1" selected="0">
            <x v="2"/>
          </reference>
          <reference field="9" count="1" selected="0">
            <x v="3"/>
          </reference>
        </references>
      </pivotArea>
    </chartFormat>
    <chartFormat chart="5" format="104">
      <pivotArea type="data" outline="0" fieldPosition="0">
        <references count="3">
          <reference field="4294967294" count="1" selected="0">
            <x v="1"/>
          </reference>
          <reference field="1" count="1" selected="0">
            <x v="3"/>
          </reference>
          <reference field="9" count="1" selected="0">
            <x v="3"/>
          </reference>
        </references>
      </pivotArea>
    </chartFormat>
    <chartFormat chart="5" format="105" series="1">
      <pivotArea type="data" outline="0" fieldPosition="0">
        <references count="2">
          <reference field="4294967294" count="1" selected="0">
            <x v="1"/>
          </reference>
          <reference field="9" count="1" selected="0">
            <x v="4"/>
          </reference>
        </references>
      </pivotArea>
    </chartFormat>
    <chartFormat chart="5" format="106">
      <pivotArea type="data" outline="0" fieldPosition="0">
        <references count="3">
          <reference field="4294967294" count="1" selected="0">
            <x v="1"/>
          </reference>
          <reference field="1" count="1" selected="0">
            <x v="0"/>
          </reference>
          <reference field="9" count="1" selected="0">
            <x v="4"/>
          </reference>
        </references>
      </pivotArea>
    </chartFormat>
    <chartFormat chart="5" format="107">
      <pivotArea type="data" outline="0" fieldPosition="0">
        <references count="3">
          <reference field="4294967294" count="1" selected="0">
            <x v="1"/>
          </reference>
          <reference field="1" count="1" selected="0">
            <x v="1"/>
          </reference>
          <reference field="9" count="1" selected="0">
            <x v="4"/>
          </reference>
        </references>
      </pivotArea>
    </chartFormat>
    <chartFormat chart="5" format="108">
      <pivotArea type="data" outline="0" fieldPosition="0">
        <references count="3">
          <reference field="4294967294" count="1" selected="0">
            <x v="1"/>
          </reference>
          <reference field="1" count="1" selected="0">
            <x v="2"/>
          </reference>
          <reference field="9" count="1" selected="0">
            <x v="4"/>
          </reference>
        </references>
      </pivotArea>
    </chartFormat>
    <chartFormat chart="5" format="109">
      <pivotArea type="data" outline="0" fieldPosition="0">
        <references count="3">
          <reference field="4294967294" count="1" selected="0">
            <x v="1"/>
          </reference>
          <reference field="1" count="1" selected="0">
            <x v="3"/>
          </reference>
          <reference field="9" count="1" selected="0">
            <x v="4"/>
          </reference>
        </references>
      </pivotArea>
    </chartFormat>
    <chartFormat chart="5" format="110" series="1">
      <pivotArea type="data" outline="0" fieldPosition="0">
        <references count="2">
          <reference field="4294967294" count="1" selected="0">
            <x v="1"/>
          </reference>
          <reference field="9" count="1" selected="0">
            <x v="5"/>
          </reference>
        </references>
      </pivotArea>
    </chartFormat>
    <chartFormat chart="5" format="111">
      <pivotArea type="data" outline="0" fieldPosition="0">
        <references count="3">
          <reference field="4294967294" count="1" selected="0">
            <x v="1"/>
          </reference>
          <reference field="1" count="1" selected="0">
            <x v="0"/>
          </reference>
          <reference field="9" count="1" selected="0">
            <x v="5"/>
          </reference>
        </references>
      </pivotArea>
    </chartFormat>
    <chartFormat chart="5" format="112">
      <pivotArea type="data" outline="0" fieldPosition="0">
        <references count="3">
          <reference field="4294967294" count="1" selected="0">
            <x v="1"/>
          </reference>
          <reference field="1" count="1" selected="0">
            <x v="1"/>
          </reference>
          <reference field="9" count="1" selected="0">
            <x v="5"/>
          </reference>
        </references>
      </pivotArea>
    </chartFormat>
    <chartFormat chart="5" format="113">
      <pivotArea type="data" outline="0" fieldPosition="0">
        <references count="3">
          <reference field="4294967294" count="1" selected="0">
            <x v="1"/>
          </reference>
          <reference field="1" count="1" selected="0">
            <x v="2"/>
          </reference>
          <reference field="9" count="1" selected="0">
            <x v="5"/>
          </reference>
        </references>
      </pivotArea>
    </chartFormat>
    <chartFormat chart="5" format="114">
      <pivotArea type="data" outline="0" fieldPosition="0">
        <references count="3">
          <reference field="4294967294" count="1" selected="0">
            <x v="1"/>
          </reference>
          <reference field="1" count="1" selected="0">
            <x v="3"/>
          </reference>
          <reference field="9" count="1" selected="0">
            <x v="5"/>
          </reference>
        </references>
      </pivotArea>
    </chartFormat>
    <chartFormat chart="5" format="115" series="1">
      <pivotArea type="data" outline="0" fieldPosition="0">
        <references count="2">
          <reference field="4294967294" count="1" selected="0">
            <x v="1"/>
          </reference>
          <reference field="9" count="1" selected="0">
            <x v="6"/>
          </reference>
        </references>
      </pivotArea>
    </chartFormat>
    <chartFormat chart="5" format="116">
      <pivotArea type="data" outline="0" fieldPosition="0">
        <references count="3">
          <reference field="4294967294" count="1" selected="0">
            <x v="1"/>
          </reference>
          <reference field="1" count="1" selected="0">
            <x v="0"/>
          </reference>
          <reference field="9" count="1" selected="0">
            <x v="6"/>
          </reference>
        </references>
      </pivotArea>
    </chartFormat>
    <chartFormat chart="5" format="117">
      <pivotArea type="data" outline="0" fieldPosition="0">
        <references count="3">
          <reference field="4294967294" count="1" selected="0">
            <x v="1"/>
          </reference>
          <reference field="1" count="1" selected="0">
            <x v="1"/>
          </reference>
          <reference field="9" count="1" selected="0">
            <x v="6"/>
          </reference>
        </references>
      </pivotArea>
    </chartFormat>
    <chartFormat chart="5" format="118">
      <pivotArea type="data" outline="0" fieldPosition="0">
        <references count="3">
          <reference field="4294967294" count="1" selected="0">
            <x v="1"/>
          </reference>
          <reference field="1" count="1" selected="0">
            <x v="2"/>
          </reference>
          <reference field="9" count="1" selected="0">
            <x v="6"/>
          </reference>
        </references>
      </pivotArea>
    </chartFormat>
    <chartFormat chart="5" format="119">
      <pivotArea type="data" outline="0" fieldPosition="0">
        <references count="3">
          <reference field="4294967294" count="1" selected="0">
            <x v="1"/>
          </reference>
          <reference field="1" count="1" selected="0">
            <x v="3"/>
          </reference>
          <reference field="9" count="1" selected="0">
            <x v="6"/>
          </reference>
        </references>
      </pivotArea>
    </chartFormat>
    <chartFormat chart="6" format="120" series="1">
      <pivotArea type="data" outline="0" fieldPosition="0">
        <references count="2">
          <reference field="4294967294" count="1" selected="0">
            <x v="0"/>
          </reference>
          <reference field="9" count="1" selected="0">
            <x v="1"/>
          </reference>
        </references>
      </pivotArea>
    </chartFormat>
    <chartFormat chart="6" format="121">
      <pivotArea type="data" outline="0" fieldPosition="0">
        <references count="3">
          <reference field="4294967294" count="1" selected="0">
            <x v="0"/>
          </reference>
          <reference field="1" count="1" selected="0">
            <x v="0"/>
          </reference>
          <reference field="9" count="1" selected="0">
            <x v="1"/>
          </reference>
        </references>
      </pivotArea>
    </chartFormat>
    <chartFormat chart="6" format="122">
      <pivotArea type="data" outline="0" fieldPosition="0">
        <references count="3">
          <reference field="4294967294" count="1" selected="0">
            <x v="0"/>
          </reference>
          <reference field="1" count="1" selected="0">
            <x v="1"/>
          </reference>
          <reference field="9" count="1" selected="0">
            <x v="1"/>
          </reference>
        </references>
      </pivotArea>
    </chartFormat>
    <chartFormat chart="6" format="123">
      <pivotArea type="data" outline="0" fieldPosition="0">
        <references count="3">
          <reference field="4294967294" count="1" selected="0">
            <x v="0"/>
          </reference>
          <reference field="1" count="1" selected="0">
            <x v="2"/>
          </reference>
          <reference field="9" count="1" selected="0">
            <x v="1"/>
          </reference>
        </references>
      </pivotArea>
    </chartFormat>
    <chartFormat chart="6" format="124">
      <pivotArea type="data" outline="0" fieldPosition="0">
        <references count="3">
          <reference field="4294967294" count="1" selected="0">
            <x v="0"/>
          </reference>
          <reference field="1" count="1" selected="0">
            <x v="3"/>
          </reference>
          <reference field="9" count="1" selected="0">
            <x v="1"/>
          </reference>
        </references>
      </pivotArea>
    </chartFormat>
    <chartFormat chart="6" format="125" series="1">
      <pivotArea type="data" outline="0" fieldPosition="0">
        <references count="2">
          <reference field="4294967294" count="1" selected="0">
            <x v="0"/>
          </reference>
          <reference field="9" count="1" selected="0">
            <x v="2"/>
          </reference>
        </references>
      </pivotArea>
    </chartFormat>
    <chartFormat chart="6" format="126">
      <pivotArea type="data" outline="0" fieldPosition="0">
        <references count="3">
          <reference field="4294967294" count="1" selected="0">
            <x v="0"/>
          </reference>
          <reference field="1" count="1" selected="0">
            <x v="0"/>
          </reference>
          <reference field="9" count="1" selected="0">
            <x v="2"/>
          </reference>
        </references>
      </pivotArea>
    </chartFormat>
    <chartFormat chart="6" format="127">
      <pivotArea type="data" outline="0" fieldPosition="0">
        <references count="3">
          <reference field="4294967294" count="1" selected="0">
            <x v="0"/>
          </reference>
          <reference field="1" count="1" selected="0">
            <x v="1"/>
          </reference>
          <reference field="9" count="1" selected="0">
            <x v="2"/>
          </reference>
        </references>
      </pivotArea>
    </chartFormat>
    <chartFormat chart="6" format="128">
      <pivotArea type="data" outline="0" fieldPosition="0">
        <references count="3">
          <reference field="4294967294" count="1" selected="0">
            <x v="0"/>
          </reference>
          <reference field="1" count="1" selected="0">
            <x v="2"/>
          </reference>
          <reference field="9" count="1" selected="0">
            <x v="2"/>
          </reference>
        </references>
      </pivotArea>
    </chartFormat>
    <chartFormat chart="6" format="129">
      <pivotArea type="data" outline="0" fieldPosition="0">
        <references count="3">
          <reference field="4294967294" count="1" selected="0">
            <x v="0"/>
          </reference>
          <reference field="1" count="1" selected="0">
            <x v="3"/>
          </reference>
          <reference field="9" count="1" selected="0">
            <x v="2"/>
          </reference>
        </references>
      </pivotArea>
    </chartFormat>
    <chartFormat chart="6" format="130" series="1">
      <pivotArea type="data" outline="0" fieldPosition="0">
        <references count="2">
          <reference field="4294967294" count="1" selected="0">
            <x v="0"/>
          </reference>
          <reference field="9" count="1" selected="0">
            <x v="3"/>
          </reference>
        </references>
      </pivotArea>
    </chartFormat>
    <chartFormat chart="6" format="131">
      <pivotArea type="data" outline="0" fieldPosition="0">
        <references count="3">
          <reference field="4294967294" count="1" selected="0">
            <x v="0"/>
          </reference>
          <reference field="1" count="1" selected="0">
            <x v="0"/>
          </reference>
          <reference field="9" count="1" selected="0">
            <x v="3"/>
          </reference>
        </references>
      </pivotArea>
    </chartFormat>
    <chartFormat chart="6" format="132">
      <pivotArea type="data" outline="0" fieldPosition="0">
        <references count="3">
          <reference field="4294967294" count="1" selected="0">
            <x v="0"/>
          </reference>
          <reference field="1" count="1" selected="0">
            <x v="1"/>
          </reference>
          <reference field="9" count="1" selected="0">
            <x v="3"/>
          </reference>
        </references>
      </pivotArea>
    </chartFormat>
    <chartFormat chart="6" format="133">
      <pivotArea type="data" outline="0" fieldPosition="0">
        <references count="3">
          <reference field="4294967294" count="1" selected="0">
            <x v="0"/>
          </reference>
          <reference field="1" count="1" selected="0">
            <x v="2"/>
          </reference>
          <reference field="9" count="1" selected="0">
            <x v="3"/>
          </reference>
        </references>
      </pivotArea>
    </chartFormat>
    <chartFormat chart="6" format="134">
      <pivotArea type="data" outline="0" fieldPosition="0">
        <references count="3">
          <reference field="4294967294" count="1" selected="0">
            <x v="0"/>
          </reference>
          <reference field="1" count="1" selected="0">
            <x v="3"/>
          </reference>
          <reference field="9" count="1" selected="0">
            <x v="3"/>
          </reference>
        </references>
      </pivotArea>
    </chartFormat>
    <chartFormat chart="6" format="135" series="1">
      <pivotArea type="data" outline="0" fieldPosition="0">
        <references count="2">
          <reference field="4294967294" count="1" selected="0">
            <x v="0"/>
          </reference>
          <reference field="9" count="1" selected="0">
            <x v="4"/>
          </reference>
        </references>
      </pivotArea>
    </chartFormat>
    <chartFormat chart="6" format="136">
      <pivotArea type="data" outline="0" fieldPosition="0">
        <references count="3">
          <reference field="4294967294" count="1" selected="0">
            <x v="0"/>
          </reference>
          <reference field="1" count="1" selected="0">
            <x v="0"/>
          </reference>
          <reference field="9" count="1" selected="0">
            <x v="4"/>
          </reference>
        </references>
      </pivotArea>
    </chartFormat>
    <chartFormat chart="6" format="137">
      <pivotArea type="data" outline="0" fieldPosition="0">
        <references count="3">
          <reference field="4294967294" count="1" selected="0">
            <x v="0"/>
          </reference>
          <reference field="1" count="1" selected="0">
            <x v="1"/>
          </reference>
          <reference field="9" count="1" selected="0">
            <x v="4"/>
          </reference>
        </references>
      </pivotArea>
    </chartFormat>
    <chartFormat chart="6" format="138">
      <pivotArea type="data" outline="0" fieldPosition="0">
        <references count="3">
          <reference field="4294967294" count="1" selected="0">
            <x v="0"/>
          </reference>
          <reference field="1" count="1" selected="0">
            <x v="2"/>
          </reference>
          <reference field="9" count="1" selected="0">
            <x v="4"/>
          </reference>
        </references>
      </pivotArea>
    </chartFormat>
    <chartFormat chart="6" format="139">
      <pivotArea type="data" outline="0" fieldPosition="0">
        <references count="3">
          <reference field="4294967294" count="1" selected="0">
            <x v="0"/>
          </reference>
          <reference field="1" count="1" selected="0">
            <x v="3"/>
          </reference>
          <reference field="9" count="1" selected="0">
            <x v="4"/>
          </reference>
        </references>
      </pivotArea>
    </chartFormat>
    <chartFormat chart="6" format="140" series="1">
      <pivotArea type="data" outline="0" fieldPosition="0">
        <references count="2">
          <reference field="4294967294" count="1" selected="0">
            <x v="0"/>
          </reference>
          <reference field="9" count="1" selected="0">
            <x v="5"/>
          </reference>
        </references>
      </pivotArea>
    </chartFormat>
    <chartFormat chart="6" format="141">
      <pivotArea type="data" outline="0" fieldPosition="0">
        <references count="3">
          <reference field="4294967294" count="1" selected="0">
            <x v="0"/>
          </reference>
          <reference field="1" count="1" selected="0">
            <x v="0"/>
          </reference>
          <reference field="9" count="1" selected="0">
            <x v="5"/>
          </reference>
        </references>
      </pivotArea>
    </chartFormat>
    <chartFormat chart="6" format="142">
      <pivotArea type="data" outline="0" fieldPosition="0">
        <references count="3">
          <reference field="4294967294" count="1" selected="0">
            <x v="0"/>
          </reference>
          <reference field="1" count="1" selected="0">
            <x v="1"/>
          </reference>
          <reference field="9" count="1" selected="0">
            <x v="5"/>
          </reference>
        </references>
      </pivotArea>
    </chartFormat>
    <chartFormat chart="6" format="143">
      <pivotArea type="data" outline="0" fieldPosition="0">
        <references count="3">
          <reference field="4294967294" count="1" selected="0">
            <x v="0"/>
          </reference>
          <reference field="1" count="1" selected="0">
            <x v="2"/>
          </reference>
          <reference field="9" count="1" selected="0">
            <x v="5"/>
          </reference>
        </references>
      </pivotArea>
    </chartFormat>
    <chartFormat chart="6" format="144">
      <pivotArea type="data" outline="0" fieldPosition="0">
        <references count="3">
          <reference field="4294967294" count="1" selected="0">
            <x v="0"/>
          </reference>
          <reference field="1" count="1" selected="0">
            <x v="3"/>
          </reference>
          <reference field="9" count="1" selected="0">
            <x v="5"/>
          </reference>
        </references>
      </pivotArea>
    </chartFormat>
    <chartFormat chart="6" format="145" series="1">
      <pivotArea type="data" outline="0" fieldPosition="0">
        <references count="2">
          <reference field="4294967294" count="1" selected="0">
            <x v="0"/>
          </reference>
          <reference field="9" count="1" selected="0">
            <x v="6"/>
          </reference>
        </references>
      </pivotArea>
    </chartFormat>
    <chartFormat chart="6" format="146">
      <pivotArea type="data" outline="0" fieldPosition="0">
        <references count="3">
          <reference field="4294967294" count="1" selected="0">
            <x v="0"/>
          </reference>
          <reference field="1" count="1" selected="0">
            <x v="0"/>
          </reference>
          <reference field="9" count="1" selected="0">
            <x v="6"/>
          </reference>
        </references>
      </pivotArea>
    </chartFormat>
    <chartFormat chart="6" format="147">
      <pivotArea type="data" outline="0" fieldPosition="0">
        <references count="3">
          <reference field="4294967294" count="1" selected="0">
            <x v="0"/>
          </reference>
          <reference field="1" count="1" selected="0">
            <x v="1"/>
          </reference>
          <reference field="9" count="1" selected="0">
            <x v="6"/>
          </reference>
        </references>
      </pivotArea>
    </chartFormat>
    <chartFormat chart="6" format="148">
      <pivotArea type="data" outline="0" fieldPosition="0">
        <references count="3">
          <reference field="4294967294" count="1" selected="0">
            <x v="0"/>
          </reference>
          <reference field="1" count="1" selected="0">
            <x v="2"/>
          </reference>
          <reference field="9" count="1" selected="0">
            <x v="6"/>
          </reference>
        </references>
      </pivotArea>
    </chartFormat>
    <chartFormat chart="6" format="149">
      <pivotArea type="data" outline="0" fieldPosition="0">
        <references count="3">
          <reference field="4294967294" count="1" selected="0">
            <x v="0"/>
          </reference>
          <reference field="1" count="1" selected="0">
            <x v="3"/>
          </reference>
          <reference field="9" count="1" selected="0">
            <x v="6"/>
          </reference>
        </references>
      </pivotArea>
    </chartFormat>
    <chartFormat chart="6" format="150" series="1">
      <pivotArea type="data" outline="0" fieldPosition="0">
        <references count="2">
          <reference field="4294967294" count="1" selected="0">
            <x v="1"/>
          </reference>
          <reference field="9" count="1" selected="0">
            <x v="1"/>
          </reference>
        </references>
      </pivotArea>
    </chartFormat>
    <chartFormat chart="6" format="151">
      <pivotArea type="data" outline="0" fieldPosition="0">
        <references count="3">
          <reference field="4294967294" count="1" selected="0">
            <x v="1"/>
          </reference>
          <reference field="1" count="1" selected="0">
            <x v="0"/>
          </reference>
          <reference field="9" count="1" selected="0">
            <x v="1"/>
          </reference>
        </references>
      </pivotArea>
    </chartFormat>
    <chartFormat chart="6" format="152">
      <pivotArea type="data" outline="0" fieldPosition="0">
        <references count="3">
          <reference field="4294967294" count="1" selected="0">
            <x v="1"/>
          </reference>
          <reference field="1" count="1" selected="0">
            <x v="1"/>
          </reference>
          <reference field="9" count="1" selected="0">
            <x v="1"/>
          </reference>
        </references>
      </pivotArea>
    </chartFormat>
    <chartFormat chart="6" format="153">
      <pivotArea type="data" outline="0" fieldPosition="0">
        <references count="3">
          <reference field="4294967294" count="1" selected="0">
            <x v="1"/>
          </reference>
          <reference field="1" count="1" selected="0">
            <x v="2"/>
          </reference>
          <reference field="9" count="1" selected="0">
            <x v="1"/>
          </reference>
        </references>
      </pivotArea>
    </chartFormat>
    <chartFormat chart="6" format="154">
      <pivotArea type="data" outline="0" fieldPosition="0">
        <references count="3">
          <reference field="4294967294" count="1" selected="0">
            <x v="1"/>
          </reference>
          <reference field="1" count="1" selected="0">
            <x v="3"/>
          </reference>
          <reference field="9" count="1" selected="0">
            <x v="1"/>
          </reference>
        </references>
      </pivotArea>
    </chartFormat>
    <chartFormat chart="6" format="155" series="1">
      <pivotArea type="data" outline="0" fieldPosition="0">
        <references count="2">
          <reference field="4294967294" count="1" selected="0">
            <x v="1"/>
          </reference>
          <reference field="9" count="1" selected="0">
            <x v="2"/>
          </reference>
        </references>
      </pivotArea>
    </chartFormat>
    <chartFormat chart="6" format="156">
      <pivotArea type="data" outline="0" fieldPosition="0">
        <references count="3">
          <reference field="4294967294" count="1" selected="0">
            <x v="1"/>
          </reference>
          <reference field="1" count="1" selected="0">
            <x v="0"/>
          </reference>
          <reference field="9" count="1" selected="0">
            <x v="2"/>
          </reference>
        </references>
      </pivotArea>
    </chartFormat>
    <chartFormat chart="6" format="157">
      <pivotArea type="data" outline="0" fieldPosition="0">
        <references count="3">
          <reference field="4294967294" count="1" selected="0">
            <x v="1"/>
          </reference>
          <reference field="1" count="1" selected="0">
            <x v="1"/>
          </reference>
          <reference field="9" count="1" selected="0">
            <x v="2"/>
          </reference>
        </references>
      </pivotArea>
    </chartFormat>
    <chartFormat chart="6" format="158">
      <pivotArea type="data" outline="0" fieldPosition="0">
        <references count="3">
          <reference field="4294967294" count="1" selected="0">
            <x v="1"/>
          </reference>
          <reference field="1" count="1" selected="0">
            <x v="2"/>
          </reference>
          <reference field="9" count="1" selected="0">
            <x v="2"/>
          </reference>
        </references>
      </pivotArea>
    </chartFormat>
    <chartFormat chart="6" format="159">
      <pivotArea type="data" outline="0" fieldPosition="0">
        <references count="3">
          <reference field="4294967294" count="1" selected="0">
            <x v="1"/>
          </reference>
          <reference field="1" count="1" selected="0">
            <x v="3"/>
          </reference>
          <reference field="9" count="1" selected="0">
            <x v="2"/>
          </reference>
        </references>
      </pivotArea>
    </chartFormat>
    <chartFormat chart="6" format="160" series="1">
      <pivotArea type="data" outline="0" fieldPosition="0">
        <references count="2">
          <reference field="4294967294" count="1" selected="0">
            <x v="1"/>
          </reference>
          <reference field="9" count="1" selected="0">
            <x v="3"/>
          </reference>
        </references>
      </pivotArea>
    </chartFormat>
    <chartFormat chart="6" format="161">
      <pivotArea type="data" outline="0" fieldPosition="0">
        <references count="3">
          <reference field="4294967294" count="1" selected="0">
            <x v="1"/>
          </reference>
          <reference field="1" count="1" selected="0">
            <x v="0"/>
          </reference>
          <reference field="9" count="1" selected="0">
            <x v="3"/>
          </reference>
        </references>
      </pivotArea>
    </chartFormat>
    <chartFormat chart="6" format="162">
      <pivotArea type="data" outline="0" fieldPosition="0">
        <references count="3">
          <reference field="4294967294" count="1" selected="0">
            <x v="1"/>
          </reference>
          <reference field="1" count="1" selected="0">
            <x v="1"/>
          </reference>
          <reference field="9" count="1" selected="0">
            <x v="3"/>
          </reference>
        </references>
      </pivotArea>
    </chartFormat>
    <chartFormat chart="6" format="163">
      <pivotArea type="data" outline="0" fieldPosition="0">
        <references count="3">
          <reference field="4294967294" count="1" selected="0">
            <x v="1"/>
          </reference>
          <reference field="1" count="1" selected="0">
            <x v="2"/>
          </reference>
          <reference field="9" count="1" selected="0">
            <x v="3"/>
          </reference>
        </references>
      </pivotArea>
    </chartFormat>
    <chartFormat chart="6" format="164">
      <pivotArea type="data" outline="0" fieldPosition="0">
        <references count="3">
          <reference field="4294967294" count="1" selected="0">
            <x v="1"/>
          </reference>
          <reference field="1" count="1" selected="0">
            <x v="3"/>
          </reference>
          <reference field="9" count="1" selected="0">
            <x v="3"/>
          </reference>
        </references>
      </pivotArea>
    </chartFormat>
    <chartFormat chart="6" format="165" series="1">
      <pivotArea type="data" outline="0" fieldPosition="0">
        <references count="2">
          <reference field="4294967294" count="1" selected="0">
            <x v="1"/>
          </reference>
          <reference field="9" count="1" selected="0">
            <x v="4"/>
          </reference>
        </references>
      </pivotArea>
    </chartFormat>
    <chartFormat chart="6" format="166">
      <pivotArea type="data" outline="0" fieldPosition="0">
        <references count="3">
          <reference field="4294967294" count="1" selected="0">
            <x v="1"/>
          </reference>
          <reference field="1" count="1" selected="0">
            <x v="0"/>
          </reference>
          <reference field="9" count="1" selected="0">
            <x v="4"/>
          </reference>
        </references>
      </pivotArea>
    </chartFormat>
    <chartFormat chart="6" format="167">
      <pivotArea type="data" outline="0" fieldPosition="0">
        <references count="3">
          <reference field="4294967294" count="1" selected="0">
            <x v="1"/>
          </reference>
          <reference field="1" count="1" selected="0">
            <x v="1"/>
          </reference>
          <reference field="9" count="1" selected="0">
            <x v="4"/>
          </reference>
        </references>
      </pivotArea>
    </chartFormat>
    <chartFormat chart="6" format="168">
      <pivotArea type="data" outline="0" fieldPosition="0">
        <references count="3">
          <reference field="4294967294" count="1" selected="0">
            <x v="1"/>
          </reference>
          <reference field="1" count="1" selected="0">
            <x v="2"/>
          </reference>
          <reference field="9" count="1" selected="0">
            <x v="4"/>
          </reference>
        </references>
      </pivotArea>
    </chartFormat>
    <chartFormat chart="6" format="169">
      <pivotArea type="data" outline="0" fieldPosition="0">
        <references count="3">
          <reference field="4294967294" count="1" selected="0">
            <x v="1"/>
          </reference>
          <reference field="1" count="1" selected="0">
            <x v="3"/>
          </reference>
          <reference field="9" count="1" selected="0">
            <x v="4"/>
          </reference>
        </references>
      </pivotArea>
    </chartFormat>
    <chartFormat chart="6" format="170" series="1">
      <pivotArea type="data" outline="0" fieldPosition="0">
        <references count="2">
          <reference field="4294967294" count="1" selected="0">
            <x v="1"/>
          </reference>
          <reference field="9" count="1" selected="0">
            <x v="5"/>
          </reference>
        </references>
      </pivotArea>
    </chartFormat>
    <chartFormat chart="6" format="171">
      <pivotArea type="data" outline="0" fieldPosition="0">
        <references count="3">
          <reference field="4294967294" count="1" selected="0">
            <x v="1"/>
          </reference>
          <reference field="1" count="1" selected="0">
            <x v="0"/>
          </reference>
          <reference field="9" count="1" selected="0">
            <x v="5"/>
          </reference>
        </references>
      </pivotArea>
    </chartFormat>
    <chartFormat chart="6" format="172">
      <pivotArea type="data" outline="0" fieldPosition="0">
        <references count="3">
          <reference field="4294967294" count="1" selected="0">
            <x v="1"/>
          </reference>
          <reference field="1" count="1" selected="0">
            <x v="1"/>
          </reference>
          <reference field="9" count="1" selected="0">
            <x v="5"/>
          </reference>
        </references>
      </pivotArea>
    </chartFormat>
    <chartFormat chart="6" format="173">
      <pivotArea type="data" outline="0" fieldPosition="0">
        <references count="3">
          <reference field="4294967294" count="1" selected="0">
            <x v="1"/>
          </reference>
          <reference field="1" count="1" selected="0">
            <x v="2"/>
          </reference>
          <reference field="9" count="1" selected="0">
            <x v="5"/>
          </reference>
        </references>
      </pivotArea>
    </chartFormat>
    <chartFormat chart="6" format="174">
      <pivotArea type="data" outline="0" fieldPosition="0">
        <references count="3">
          <reference field="4294967294" count="1" selected="0">
            <x v="1"/>
          </reference>
          <reference field="1" count="1" selected="0">
            <x v="3"/>
          </reference>
          <reference field="9" count="1" selected="0">
            <x v="5"/>
          </reference>
        </references>
      </pivotArea>
    </chartFormat>
    <chartFormat chart="6" format="175" series="1">
      <pivotArea type="data" outline="0" fieldPosition="0">
        <references count="2">
          <reference field="4294967294" count="1" selected="0">
            <x v="1"/>
          </reference>
          <reference field="9" count="1" selected="0">
            <x v="6"/>
          </reference>
        </references>
      </pivotArea>
    </chartFormat>
    <chartFormat chart="6" format="176">
      <pivotArea type="data" outline="0" fieldPosition="0">
        <references count="3">
          <reference field="4294967294" count="1" selected="0">
            <x v="1"/>
          </reference>
          <reference field="1" count="1" selected="0">
            <x v="0"/>
          </reference>
          <reference field="9" count="1" selected="0">
            <x v="6"/>
          </reference>
        </references>
      </pivotArea>
    </chartFormat>
    <chartFormat chart="6" format="177">
      <pivotArea type="data" outline="0" fieldPosition="0">
        <references count="3">
          <reference field="4294967294" count="1" selected="0">
            <x v="1"/>
          </reference>
          <reference field="1" count="1" selected="0">
            <x v="1"/>
          </reference>
          <reference field="9" count="1" selected="0">
            <x v="6"/>
          </reference>
        </references>
      </pivotArea>
    </chartFormat>
    <chartFormat chart="6" format="178">
      <pivotArea type="data" outline="0" fieldPosition="0">
        <references count="3">
          <reference field="4294967294" count="1" selected="0">
            <x v="1"/>
          </reference>
          <reference field="1" count="1" selected="0">
            <x v="2"/>
          </reference>
          <reference field="9" count="1" selected="0">
            <x v="6"/>
          </reference>
        </references>
      </pivotArea>
    </chartFormat>
    <chartFormat chart="6" format="179">
      <pivotArea type="data" outline="0" fieldPosition="0">
        <references count="3">
          <reference field="4294967294" count="1" selected="0">
            <x v="1"/>
          </reference>
          <reference field="1" count="1" selected="0">
            <x v="3"/>
          </reference>
          <reference field="9" count="1" selected="0">
            <x v="6"/>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21BF3-06A7-4030-ACA1-E1083A8E7C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10" firstHeaderRow="1" firstDataRow="3" firstDataCol="1"/>
  <pivotFields count="11">
    <pivotField axis="axisCol"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Row" showAll="0">
      <items count="5">
        <item x="2"/>
        <item x="3"/>
        <item x="1"/>
        <item x="0"/>
        <item t="default"/>
      </items>
    </pivotField>
    <pivotField showAll="0"/>
    <pivotField showAll="0"/>
    <pivotField showAll="0"/>
    <pivotField dataField="1" showAll="0"/>
    <pivotField showAll="0">
      <items count="7">
        <item x="0"/>
        <item x="1"/>
        <item x="2"/>
        <item x="3"/>
        <item x="4"/>
        <item x="5"/>
        <item t="default"/>
      </items>
    </pivotField>
    <pivotField numFmtId="9"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
  </rowFields>
  <rowItems count="5">
    <i>
      <x/>
    </i>
    <i>
      <x v="1"/>
    </i>
    <i>
      <x v="2"/>
    </i>
    <i>
      <x v="3"/>
    </i>
    <i t="grand">
      <x/>
    </i>
  </rowItems>
  <colFields count="2">
    <field x="9"/>
    <field x="0"/>
  </colFields>
  <colItems count="7">
    <i>
      <x v="1"/>
    </i>
    <i>
      <x v="2"/>
    </i>
    <i>
      <x v="3"/>
    </i>
    <i>
      <x v="4"/>
    </i>
    <i>
      <x v="5"/>
    </i>
    <i>
      <x v="6"/>
    </i>
    <i t="grand">
      <x/>
    </i>
  </colItems>
  <dataFields count="1">
    <dataField name="Sum of Failed" fld="5" baseField="0" baseItem="0"/>
  </dataFields>
  <formats count="1">
    <format dxfId="15">
      <pivotArea type="all" dataOnly="0"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2">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2"/>
          </reference>
        </references>
      </pivotArea>
    </chartFormat>
    <chartFormat chart="0" format="2" series="1">
      <pivotArea type="data" outline="0" fieldPosition="0">
        <references count="2">
          <reference field="4294967294" count="1" selected="0">
            <x v="0"/>
          </reference>
          <reference field="9" count="1" selected="0">
            <x v="3"/>
          </reference>
        </references>
      </pivotArea>
    </chartFormat>
    <chartFormat chart="0" format="3" series="1">
      <pivotArea type="data" outline="0" fieldPosition="0">
        <references count="2">
          <reference field="4294967294" count="1" selected="0">
            <x v="0"/>
          </reference>
          <reference field="9" count="1" selected="0">
            <x v="4"/>
          </reference>
        </references>
      </pivotArea>
    </chartFormat>
    <chartFormat chart="0" format="4" series="1">
      <pivotArea type="data" outline="0" fieldPosition="0">
        <references count="2">
          <reference field="4294967294" count="1" selected="0">
            <x v="0"/>
          </reference>
          <reference field="9" count="1" selected="0">
            <x v="5"/>
          </reference>
        </references>
      </pivotArea>
    </chartFormat>
    <chartFormat chart="0" format="5" series="1">
      <pivotArea type="data" outline="0" fieldPosition="0">
        <references count="2">
          <reference field="4294967294" count="1" selected="0">
            <x v="0"/>
          </reference>
          <reference field="9" count="1" selected="0">
            <x v="6"/>
          </reference>
        </references>
      </pivotArea>
    </chartFormat>
    <chartFormat chart="3" format="12" series="1">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9" count="1" selected="0">
            <x v="2"/>
          </reference>
        </references>
      </pivotArea>
    </chartFormat>
    <chartFormat chart="3" format="14" series="1">
      <pivotArea type="data" outline="0" fieldPosition="0">
        <references count="2">
          <reference field="4294967294" count="1" selected="0">
            <x v="0"/>
          </reference>
          <reference field="9" count="1" selected="0">
            <x v="3"/>
          </reference>
        </references>
      </pivotArea>
    </chartFormat>
    <chartFormat chart="3" format="15" series="1">
      <pivotArea type="data" outline="0" fieldPosition="0">
        <references count="2">
          <reference field="4294967294" count="1" selected="0">
            <x v="0"/>
          </reference>
          <reference field="9" count="1" selected="0">
            <x v="4"/>
          </reference>
        </references>
      </pivotArea>
    </chartFormat>
    <chartFormat chart="3" format="16" series="1">
      <pivotArea type="data" outline="0" fieldPosition="0">
        <references count="2">
          <reference field="4294967294" count="1" selected="0">
            <x v="0"/>
          </reference>
          <reference field="9" count="1" selected="0">
            <x v="5"/>
          </reference>
        </references>
      </pivotArea>
    </chartFormat>
    <chartFormat chart="3" format="17" series="1">
      <pivotArea type="data" outline="0" fieldPosition="0">
        <references count="2">
          <reference field="4294967294" count="1" selected="0">
            <x v="0"/>
          </reference>
          <reference field="9" count="1" selected="0">
            <x v="6"/>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66D33A-9B82-414D-863A-3C148AC6B3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H10" firstHeaderRow="1" firstDataRow="3" firstDataCol="1"/>
  <pivotFields count="11">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Row" showAll="0">
      <items count="5">
        <item x="2"/>
        <item x="3"/>
        <item x="1"/>
        <item x="0"/>
        <item t="default"/>
      </items>
    </pivotField>
    <pivotField showAll="0"/>
    <pivotField showAll="0"/>
    <pivotField showAll="0"/>
    <pivotField showAll="0"/>
    <pivotField showAll="0">
      <items count="7">
        <item x="0"/>
        <item x="1"/>
        <item x="2"/>
        <item x="3"/>
        <item x="4"/>
        <item x="5"/>
        <item t="default"/>
      </items>
    </pivotField>
    <pivotField dataField="1" numFmtId="9"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
  </rowFields>
  <rowItems count="5">
    <i>
      <x/>
    </i>
    <i>
      <x v="1"/>
    </i>
    <i>
      <x v="2"/>
    </i>
    <i>
      <x v="3"/>
    </i>
    <i t="grand">
      <x/>
    </i>
  </rowItems>
  <colFields count="2">
    <field x="9"/>
    <field x="8"/>
  </colFields>
  <colItems count="7">
    <i>
      <x v="1"/>
    </i>
    <i>
      <x v="2"/>
    </i>
    <i>
      <x v="3"/>
    </i>
    <i>
      <x v="4"/>
    </i>
    <i>
      <x v="5"/>
    </i>
    <i>
      <x v="6"/>
    </i>
    <i t="grand">
      <x/>
    </i>
  </colItems>
  <dataFields count="1">
    <dataField name="Average of Pass_Rate" fld="7" subtotal="average" baseField="1" baseItem="0" numFmtId="9"/>
  </dataFields>
  <formats count="1">
    <format dxfId="14">
      <pivotArea type="all" dataOnly="0" outline="0" fieldPosition="0"/>
    </format>
  </formats>
  <chartFormats count="18">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2"/>
          </reference>
        </references>
      </pivotArea>
    </chartFormat>
    <chartFormat chart="0" format="2" series="1">
      <pivotArea type="data" outline="0" fieldPosition="0">
        <references count="2">
          <reference field="4294967294" count="1" selected="0">
            <x v="0"/>
          </reference>
          <reference field="9" count="1" selected="0">
            <x v="3"/>
          </reference>
        </references>
      </pivotArea>
    </chartFormat>
    <chartFormat chart="0" format="3" series="1">
      <pivotArea type="data" outline="0" fieldPosition="0">
        <references count="2">
          <reference field="4294967294" count="1" selected="0">
            <x v="0"/>
          </reference>
          <reference field="9" count="1" selected="0">
            <x v="4"/>
          </reference>
        </references>
      </pivotArea>
    </chartFormat>
    <chartFormat chart="0" format="4" series="1">
      <pivotArea type="data" outline="0" fieldPosition="0">
        <references count="2">
          <reference field="4294967294" count="1" selected="0">
            <x v="0"/>
          </reference>
          <reference field="9" count="1" selected="0">
            <x v="5"/>
          </reference>
        </references>
      </pivotArea>
    </chartFormat>
    <chartFormat chart="0" format="5" series="1">
      <pivotArea type="data" outline="0" fieldPosition="0">
        <references count="2">
          <reference field="4294967294" count="1" selected="0">
            <x v="0"/>
          </reference>
          <reference field="9" count="1" selected="0">
            <x v="6"/>
          </reference>
        </references>
      </pivotArea>
    </chartFormat>
    <chartFormat chart="3" format="12" series="1">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9" count="1" selected="0">
            <x v="2"/>
          </reference>
        </references>
      </pivotArea>
    </chartFormat>
    <chartFormat chart="3" format="14" series="1">
      <pivotArea type="data" outline="0" fieldPosition="0">
        <references count="2">
          <reference field="4294967294" count="1" selected="0">
            <x v="0"/>
          </reference>
          <reference field="9" count="1" selected="0">
            <x v="3"/>
          </reference>
        </references>
      </pivotArea>
    </chartFormat>
    <chartFormat chart="3" format="15" series="1">
      <pivotArea type="data" outline="0" fieldPosition="0">
        <references count="2">
          <reference field="4294967294" count="1" selected="0">
            <x v="0"/>
          </reference>
          <reference field="9" count="1" selected="0">
            <x v="4"/>
          </reference>
        </references>
      </pivotArea>
    </chartFormat>
    <chartFormat chart="3" format="16" series="1">
      <pivotArea type="data" outline="0" fieldPosition="0">
        <references count="2">
          <reference field="4294967294" count="1" selected="0">
            <x v="0"/>
          </reference>
          <reference field="9" count="1" selected="0">
            <x v="5"/>
          </reference>
        </references>
      </pivotArea>
    </chartFormat>
    <chartFormat chart="3" format="17" series="1">
      <pivotArea type="data" outline="0" fieldPosition="0">
        <references count="2">
          <reference field="4294967294" count="1" selected="0">
            <x v="0"/>
          </reference>
          <reference field="9" count="1" selected="0">
            <x v="6"/>
          </reference>
        </references>
      </pivotArea>
    </chartFormat>
    <chartFormat chart="0" format="6" series="1">
      <pivotArea type="data" outline="0" fieldPosition="0">
        <references count="3">
          <reference field="4294967294" count="1" selected="0">
            <x v="0"/>
          </reference>
          <reference field="8" count="1" selected="0">
            <x v="1048832"/>
          </reference>
          <reference field="9" count="1" selected="0">
            <x v="4"/>
          </reference>
        </references>
      </pivotArea>
    </chartFormat>
    <chartFormat chart="0" format="8" series="1">
      <pivotArea type="data" outline="0" fieldPosition="0">
        <references count="3">
          <reference field="4294967294" count="1" selected="0">
            <x v="0"/>
          </reference>
          <reference field="8" count="1" selected="0">
            <x v="1048832"/>
          </reference>
          <reference field="9" count="1" selected="0">
            <x v="5"/>
          </reference>
        </references>
      </pivotArea>
    </chartFormat>
    <chartFormat chart="0" format="10" series="1">
      <pivotArea type="data" outline="0" fieldPosition="0">
        <references count="3">
          <reference field="4294967294" count="1" selected="0">
            <x v="0"/>
          </reference>
          <reference field="8" count="1" selected="0">
            <x v="1048832"/>
          </reference>
          <reference field="9" count="1" selected="0">
            <x v="6"/>
          </reference>
        </references>
      </pivotArea>
    </chartFormat>
    <chartFormat chart="3" format="18" series="1">
      <pivotArea type="data" outline="0" fieldPosition="0">
        <references count="3">
          <reference field="4294967294" count="1" selected="0">
            <x v="0"/>
          </reference>
          <reference field="8" count="1" selected="0">
            <x v="1048832"/>
          </reference>
          <reference field="9" count="1" selected="0">
            <x v="4"/>
          </reference>
        </references>
      </pivotArea>
    </chartFormat>
    <chartFormat chart="3" format="20" series="1">
      <pivotArea type="data" outline="0" fieldPosition="0">
        <references count="3">
          <reference field="4294967294" count="1" selected="0">
            <x v="0"/>
          </reference>
          <reference field="8" count="1" selected="0">
            <x v="1048832"/>
          </reference>
          <reference field="9" count="1" selected="0">
            <x v="5"/>
          </reference>
        </references>
      </pivotArea>
    </chartFormat>
    <chartFormat chart="3" format="22" series="1">
      <pivotArea type="data" outline="0" fieldPosition="0">
        <references count="3">
          <reference field="4294967294" count="1" selected="0">
            <x v="0"/>
          </reference>
          <reference field="8" count="1" selected="0">
            <x v="1048832"/>
          </reference>
          <reference field="9" count="1" selected="0">
            <x v="6"/>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0EEE49-DDA9-45D4-8BC0-ACA1C60246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pivotField dataField="1" showAll="0"/>
    <pivotField showAll="0"/>
    <pivotField showAll="0"/>
    <pivotField showAll="0">
      <items count="7">
        <item x="0"/>
        <item x="1"/>
        <item x="2"/>
        <item x="3"/>
        <item x="4"/>
        <item x="5"/>
        <item t="default"/>
      </items>
    </pivotField>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Tests_Don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6F9F4C-E65B-434D-9ABB-91059904AF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pivotField showAll="0"/>
    <pivotField dataField="1" showAll="0"/>
    <pivotField showAll="0"/>
    <pivotField showAll="0">
      <items count="7">
        <item x="0"/>
        <item x="1"/>
        <item x="2"/>
        <item x="3"/>
        <item x="4"/>
        <item x="5"/>
        <item t="default"/>
      </items>
    </pivotField>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Pass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08B418-700B-44AC-994A-F301F9D586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pivotField showAll="0"/>
    <pivotField showAll="0"/>
    <pivotField dataField="1" showAll="0"/>
    <pivotField showAll="0">
      <items count="7">
        <item x="0"/>
        <item x="1"/>
        <item x="2"/>
        <item x="3"/>
        <item x="4"/>
        <item x="5"/>
        <item t="default"/>
      </items>
    </pivotField>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Fail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7CA9D1-7D55-4E59-9109-B6794B9F0A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pivotField showAll="0"/>
    <pivotField showAll="0"/>
    <pivotField showAll="0"/>
    <pivotField showAll="0">
      <items count="7">
        <item x="0"/>
        <item x="1"/>
        <item x="2"/>
        <item x="3"/>
        <item x="4"/>
        <item x="5"/>
        <item t="default"/>
      </items>
    </pivotField>
    <pivotField numFmtId="9"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Items count="1">
    <i/>
  </rowItems>
  <colItems count="1">
    <i/>
  </colItems>
  <dataFields count="1">
    <dataField name="Sum of Pass Rate" fld="10" baseField="0" baseItem="0" numFmtId="9"/>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05262A4-D91E-4AEB-9B71-20B7D12E2A83}" sourceName="Product">
  <pivotTables>
    <pivotTable tabId="4" name="PivotTable1"/>
    <pivotTable tabId="5" name="PivotTable2"/>
    <pivotTable tabId="6" name="PivotTable3"/>
  </pivotTables>
  <data>
    <tabular pivotCacheId="354837298">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8DFE4ED-AB18-4A96-AFBA-0DF0F5D799DD}" sourceName="Month">
  <pivotTables>
    <pivotTable tabId="5" name="PivotTable2"/>
    <pivotTable tabId="6" name="PivotTable3"/>
    <pivotTable tabId="4" name="PivotTable1"/>
    <pivotTable tabId="9" name="PivotTable1"/>
    <pivotTable tabId="10" name="PivotTable2"/>
    <pivotTable tabId="11" name="PivotTable3"/>
    <pivotTable tabId="12" name="PivotTable4"/>
  </pivotTables>
  <data>
    <tabular pivotCacheId="354837298">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20C072E-91B0-40D5-A4C3-F945164D8D75}" cache="Slicer_Product" caption="Product" startItem="2" rowHeight="247650"/>
  <slicer name="Month" xr10:uid="{3171D486-727B-466B-A9A9-59C0AB317F41}"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BEB1CE-2820-4FEA-895E-57D05CD4269D}" name="Table2" displayName="Table2" ref="A1:H725" totalsRowShown="0" headerRowDxfId="0" dataDxfId="1" headerRowBorderDxfId="11" tableBorderDxfId="12" totalsRowBorderDxfId="10">
  <autoFilter ref="A1:H725" xr:uid="{07BEB1CE-2820-4FEA-895E-57D05CD4269D}"/>
  <tableColumns count="8">
    <tableColumn id="1" xr3:uid="{C7B208D2-7F56-4623-84BE-8F4BD125DA05}" name="Date" dataDxfId="9"/>
    <tableColumn id="2" xr3:uid="{1661C07B-D83F-470D-A773-50F7F3C5AC1F}" name="Product" dataDxfId="8"/>
    <tableColumn id="3" xr3:uid="{9C59C157-CA09-4282-95A7-479343B7765B}" name="BatchID" dataDxfId="7"/>
    <tableColumn id="4" xr3:uid="{E26965D7-DF5D-42FF-B0D9-6E610AFB1CDA}" name="Tests_Done" dataDxfId="6"/>
    <tableColumn id="5" xr3:uid="{7BB7EDBC-BE72-4826-ACF1-7BFA58BED7F1}" name="Passed" dataDxfId="5"/>
    <tableColumn id="6" xr3:uid="{F7296646-C6FD-44AE-BA80-FC7B3C364190}" name="Failed" dataDxfId="4"/>
    <tableColumn id="7" xr3:uid="{83B8028F-437F-4CE3-B200-E2D6915066AB}" name="Month" dataDxfId="3">
      <calculatedColumnFormula>TEXT(A2,"yyyy-mm")</calculatedColumnFormula>
    </tableColumn>
    <tableColumn id="8" xr3:uid="{F1BCEE3C-E6CC-45C2-A342-D9D664370A5C}" name="Pass_Rate" dataDxfId="2" dataCellStyle="Percent">
      <calculatedColumnFormula>E2/D2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6977-4E71-4D14-A7CF-2C058669E983}">
  <dimension ref="A1:F725"/>
  <sheetViews>
    <sheetView workbookViewId="0">
      <selection activeCell="G18" sqref="G18"/>
    </sheetView>
  </sheetViews>
  <sheetFormatPr defaultRowHeight="14.4"/>
  <cols>
    <col min="1" max="1" width="10.33203125" customWidth="1"/>
    <col min="2" max="2" width="10.5546875" customWidth="1"/>
    <col min="3" max="3" width="9.33203125" bestFit="1" customWidth="1"/>
    <col min="4" max="4" width="11.109375" bestFit="1" customWidth="1"/>
    <col min="5" max="5" width="6.88671875" bestFit="1" customWidth="1"/>
    <col min="6" max="6" width="5.77734375" customWidth="1"/>
  </cols>
  <sheetData>
    <row r="1" spans="1:6">
      <c r="A1" s="1" t="s">
        <v>0</v>
      </c>
      <c r="B1" s="1" t="s">
        <v>1</v>
      </c>
      <c r="C1" s="1" t="s">
        <v>2</v>
      </c>
      <c r="D1" s="1" t="s">
        <v>3</v>
      </c>
      <c r="E1" s="1" t="s">
        <v>4</v>
      </c>
      <c r="F1" s="1" t="s">
        <v>5</v>
      </c>
    </row>
    <row r="2" spans="1:6">
      <c r="A2" s="2">
        <v>45658</v>
      </c>
      <c r="B2" s="1" t="s">
        <v>6</v>
      </c>
      <c r="C2" s="1" t="s">
        <v>7</v>
      </c>
      <c r="D2" s="1">
        <v>23</v>
      </c>
      <c r="E2" s="1">
        <v>20</v>
      </c>
      <c r="F2" s="1">
        <v>3</v>
      </c>
    </row>
    <row r="3" spans="1:6">
      <c r="A3" s="2">
        <v>45658</v>
      </c>
      <c r="B3" s="1" t="s">
        <v>8</v>
      </c>
      <c r="C3" s="1" t="s">
        <v>9</v>
      </c>
      <c r="D3" s="1">
        <v>48</v>
      </c>
      <c r="E3" s="1">
        <v>37</v>
      </c>
      <c r="F3" s="1">
        <v>11</v>
      </c>
    </row>
    <row r="4" spans="1:6">
      <c r="A4" s="2">
        <v>45658</v>
      </c>
      <c r="B4" s="1" t="s">
        <v>10</v>
      </c>
      <c r="C4" s="1" t="s">
        <v>11</v>
      </c>
      <c r="D4" s="1">
        <v>89</v>
      </c>
      <c r="E4" s="1">
        <v>64</v>
      </c>
      <c r="F4" s="1">
        <v>25</v>
      </c>
    </row>
    <row r="5" spans="1:6">
      <c r="A5" s="2">
        <v>45658</v>
      </c>
      <c r="B5" s="1" t="s">
        <v>12</v>
      </c>
      <c r="C5" s="1" t="s">
        <v>13</v>
      </c>
      <c r="D5" s="1">
        <v>24</v>
      </c>
      <c r="E5" s="1">
        <v>16</v>
      </c>
      <c r="F5" s="1">
        <v>8</v>
      </c>
    </row>
    <row r="6" spans="1:6">
      <c r="A6" s="2">
        <v>45659</v>
      </c>
      <c r="B6" s="1" t="s">
        <v>6</v>
      </c>
      <c r="C6" s="1" t="s">
        <v>14</v>
      </c>
      <c r="D6" s="1">
        <v>47</v>
      </c>
      <c r="E6" s="1">
        <v>39</v>
      </c>
      <c r="F6" s="1">
        <v>8</v>
      </c>
    </row>
    <row r="7" spans="1:6">
      <c r="A7" s="2">
        <v>45659</v>
      </c>
      <c r="B7" s="1" t="s">
        <v>8</v>
      </c>
      <c r="C7" s="1" t="s">
        <v>15</v>
      </c>
      <c r="D7" s="1">
        <v>97</v>
      </c>
      <c r="E7" s="1">
        <v>67</v>
      </c>
      <c r="F7" s="1">
        <v>30</v>
      </c>
    </row>
    <row r="8" spans="1:6">
      <c r="A8" s="2">
        <v>45659</v>
      </c>
      <c r="B8" s="1" t="s">
        <v>10</v>
      </c>
      <c r="C8" s="1" t="s">
        <v>16</v>
      </c>
      <c r="D8" s="1">
        <v>89</v>
      </c>
      <c r="E8" s="1">
        <v>75</v>
      </c>
      <c r="F8" s="1">
        <v>14</v>
      </c>
    </row>
    <row r="9" spans="1:6">
      <c r="A9" s="2">
        <v>45659</v>
      </c>
      <c r="B9" s="1" t="s">
        <v>12</v>
      </c>
      <c r="C9" s="1" t="s">
        <v>17</v>
      </c>
      <c r="D9" s="1">
        <v>77</v>
      </c>
      <c r="E9" s="1">
        <v>71</v>
      </c>
      <c r="F9" s="1">
        <v>6</v>
      </c>
    </row>
    <row r="10" spans="1:6">
      <c r="A10" s="2">
        <v>45660</v>
      </c>
      <c r="B10" s="1" t="s">
        <v>6</v>
      </c>
      <c r="C10" s="1" t="s">
        <v>18</v>
      </c>
      <c r="D10" s="1">
        <v>20</v>
      </c>
      <c r="E10" s="1">
        <v>20</v>
      </c>
      <c r="F10" s="1">
        <v>0</v>
      </c>
    </row>
    <row r="11" spans="1:6">
      <c r="A11" s="2">
        <v>45660</v>
      </c>
      <c r="B11" s="1" t="s">
        <v>8</v>
      </c>
      <c r="C11" s="1" t="s">
        <v>19</v>
      </c>
      <c r="D11" s="1">
        <v>74</v>
      </c>
      <c r="E11" s="1">
        <v>61</v>
      </c>
      <c r="F11" s="1">
        <v>13</v>
      </c>
    </row>
    <row r="12" spans="1:6">
      <c r="A12" s="2">
        <v>45660</v>
      </c>
      <c r="B12" s="1" t="s">
        <v>10</v>
      </c>
      <c r="C12" s="1" t="s">
        <v>20</v>
      </c>
      <c r="D12" s="1">
        <v>39</v>
      </c>
      <c r="E12" s="1">
        <v>30</v>
      </c>
      <c r="F12" s="1">
        <v>9</v>
      </c>
    </row>
    <row r="13" spans="1:6">
      <c r="A13" s="2">
        <v>45660</v>
      </c>
      <c r="B13" s="1" t="s">
        <v>12</v>
      </c>
      <c r="C13" s="1" t="s">
        <v>21</v>
      </c>
      <c r="D13" s="1">
        <v>33</v>
      </c>
      <c r="E13" s="1">
        <v>24</v>
      </c>
      <c r="F13" s="1">
        <v>9</v>
      </c>
    </row>
    <row r="14" spans="1:6">
      <c r="A14" s="2">
        <v>45661</v>
      </c>
      <c r="B14" s="1" t="s">
        <v>6</v>
      </c>
      <c r="C14" s="1" t="s">
        <v>22</v>
      </c>
      <c r="D14" s="1">
        <v>32</v>
      </c>
      <c r="E14" s="1">
        <v>27</v>
      </c>
      <c r="F14" s="1">
        <v>5</v>
      </c>
    </row>
    <row r="15" spans="1:6">
      <c r="A15" s="2">
        <v>45661</v>
      </c>
      <c r="B15" s="1" t="s">
        <v>8</v>
      </c>
      <c r="C15" s="1" t="s">
        <v>23</v>
      </c>
      <c r="D15" s="1">
        <v>97</v>
      </c>
      <c r="E15" s="1">
        <v>75</v>
      </c>
      <c r="F15" s="1">
        <v>22</v>
      </c>
    </row>
    <row r="16" spans="1:6">
      <c r="A16" s="2">
        <v>45661</v>
      </c>
      <c r="B16" s="1" t="s">
        <v>10</v>
      </c>
      <c r="C16" s="1" t="s">
        <v>24</v>
      </c>
      <c r="D16" s="1">
        <v>78</v>
      </c>
      <c r="E16" s="1">
        <v>71</v>
      </c>
      <c r="F16" s="1">
        <v>7</v>
      </c>
    </row>
    <row r="17" spans="1:6">
      <c r="A17" s="2">
        <v>45661</v>
      </c>
      <c r="B17" s="1" t="s">
        <v>12</v>
      </c>
      <c r="C17" s="1" t="s">
        <v>25</v>
      </c>
      <c r="D17" s="1">
        <v>68</v>
      </c>
      <c r="E17" s="1">
        <v>49</v>
      </c>
      <c r="F17" s="1">
        <v>19</v>
      </c>
    </row>
    <row r="18" spans="1:6">
      <c r="A18" s="2">
        <v>45662</v>
      </c>
      <c r="B18" s="1" t="s">
        <v>6</v>
      </c>
      <c r="C18" s="1" t="s">
        <v>26</v>
      </c>
      <c r="D18" s="1">
        <v>100</v>
      </c>
      <c r="E18" s="1">
        <v>89</v>
      </c>
      <c r="F18" s="1">
        <v>11</v>
      </c>
    </row>
    <row r="19" spans="1:6">
      <c r="A19" s="2">
        <v>45662</v>
      </c>
      <c r="B19" s="1" t="s">
        <v>8</v>
      </c>
      <c r="C19" s="1" t="s">
        <v>27</v>
      </c>
      <c r="D19" s="1">
        <v>93</v>
      </c>
      <c r="E19" s="1">
        <v>71</v>
      </c>
      <c r="F19" s="1">
        <v>22</v>
      </c>
    </row>
    <row r="20" spans="1:6">
      <c r="A20" s="2">
        <v>45662</v>
      </c>
      <c r="B20" s="1" t="s">
        <v>10</v>
      </c>
      <c r="C20" s="1" t="s">
        <v>28</v>
      </c>
      <c r="D20" s="1">
        <v>25</v>
      </c>
      <c r="E20" s="1">
        <v>20</v>
      </c>
      <c r="F20" s="1">
        <v>5</v>
      </c>
    </row>
    <row r="21" spans="1:6">
      <c r="A21" s="2">
        <v>45662</v>
      </c>
      <c r="B21" s="1" t="s">
        <v>12</v>
      </c>
      <c r="C21" s="1" t="s">
        <v>29</v>
      </c>
      <c r="D21" s="1">
        <v>30</v>
      </c>
      <c r="E21" s="1">
        <v>24</v>
      </c>
      <c r="F21" s="1">
        <v>6</v>
      </c>
    </row>
    <row r="22" spans="1:6">
      <c r="A22" s="2">
        <v>45663</v>
      </c>
      <c r="B22" s="1" t="s">
        <v>6</v>
      </c>
      <c r="C22" s="1" t="s">
        <v>30</v>
      </c>
      <c r="D22" s="1">
        <v>68</v>
      </c>
      <c r="E22" s="1">
        <v>55</v>
      </c>
      <c r="F22" s="1">
        <v>13</v>
      </c>
    </row>
    <row r="23" spans="1:6">
      <c r="A23" s="2">
        <v>45663</v>
      </c>
      <c r="B23" s="1" t="s">
        <v>8</v>
      </c>
      <c r="C23" s="1" t="s">
        <v>31</v>
      </c>
      <c r="D23" s="1">
        <v>66</v>
      </c>
      <c r="E23" s="1">
        <v>51</v>
      </c>
      <c r="F23" s="1">
        <v>15</v>
      </c>
    </row>
    <row r="24" spans="1:6">
      <c r="A24" s="2">
        <v>45663</v>
      </c>
      <c r="B24" s="1" t="s">
        <v>10</v>
      </c>
      <c r="C24" s="1" t="s">
        <v>32</v>
      </c>
      <c r="D24" s="1">
        <v>65</v>
      </c>
      <c r="E24" s="1">
        <v>51</v>
      </c>
      <c r="F24" s="1">
        <v>14</v>
      </c>
    </row>
    <row r="25" spans="1:6">
      <c r="A25" s="2">
        <v>45663</v>
      </c>
      <c r="B25" s="1" t="s">
        <v>12</v>
      </c>
      <c r="C25" s="1" t="s">
        <v>33</v>
      </c>
      <c r="D25" s="1">
        <v>29</v>
      </c>
      <c r="E25" s="1">
        <v>29</v>
      </c>
      <c r="F25" s="1">
        <v>0</v>
      </c>
    </row>
    <row r="26" spans="1:6">
      <c r="A26" s="2">
        <v>45664</v>
      </c>
      <c r="B26" s="1" t="s">
        <v>6</v>
      </c>
      <c r="C26" s="1" t="s">
        <v>34</v>
      </c>
      <c r="D26" s="1">
        <v>88</v>
      </c>
      <c r="E26" s="1">
        <v>84</v>
      </c>
      <c r="F26" s="1">
        <v>4</v>
      </c>
    </row>
    <row r="27" spans="1:6">
      <c r="A27" s="2">
        <v>45664</v>
      </c>
      <c r="B27" s="1" t="s">
        <v>8</v>
      </c>
      <c r="C27" s="1" t="s">
        <v>35</v>
      </c>
      <c r="D27" s="1">
        <v>40</v>
      </c>
      <c r="E27" s="1">
        <v>35</v>
      </c>
      <c r="F27" s="1">
        <v>5</v>
      </c>
    </row>
    <row r="28" spans="1:6">
      <c r="A28" s="2">
        <v>45664</v>
      </c>
      <c r="B28" s="1" t="s">
        <v>10</v>
      </c>
      <c r="C28" s="1" t="s">
        <v>36</v>
      </c>
      <c r="D28" s="1">
        <v>54</v>
      </c>
      <c r="E28" s="1">
        <v>54</v>
      </c>
      <c r="F28" s="1">
        <v>0</v>
      </c>
    </row>
    <row r="29" spans="1:6">
      <c r="A29" s="2">
        <v>45664</v>
      </c>
      <c r="B29" s="1" t="s">
        <v>12</v>
      </c>
      <c r="C29" s="1" t="s">
        <v>37</v>
      </c>
      <c r="D29" s="1">
        <v>61</v>
      </c>
      <c r="E29" s="1">
        <v>43</v>
      </c>
      <c r="F29" s="1">
        <v>18</v>
      </c>
    </row>
    <row r="30" spans="1:6">
      <c r="A30" s="2">
        <v>45665</v>
      </c>
      <c r="B30" s="1" t="s">
        <v>6</v>
      </c>
      <c r="C30" s="1" t="s">
        <v>38</v>
      </c>
      <c r="D30" s="1">
        <v>24</v>
      </c>
      <c r="E30" s="1">
        <v>21</v>
      </c>
      <c r="F30" s="1">
        <v>3</v>
      </c>
    </row>
    <row r="31" spans="1:6">
      <c r="A31" s="2">
        <v>45665</v>
      </c>
      <c r="B31" s="1" t="s">
        <v>8</v>
      </c>
      <c r="C31" s="1" t="s">
        <v>39</v>
      </c>
      <c r="D31" s="1">
        <v>54</v>
      </c>
      <c r="E31" s="1">
        <v>39</v>
      </c>
      <c r="F31" s="1">
        <v>15</v>
      </c>
    </row>
    <row r="32" spans="1:6">
      <c r="A32" s="2">
        <v>45665</v>
      </c>
      <c r="B32" s="1" t="s">
        <v>10</v>
      </c>
      <c r="C32" s="1" t="s">
        <v>40</v>
      </c>
      <c r="D32" s="1">
        <v>92</v>
      </c>
      <c r="E32" s="1">
        <v>92</v>
      </c>
      <c r="F32" s="1">
        <v>0</v>
      </c>
    </row>
    <row r="33" spans="1:6">
      <c r="A33" s="2">
        <v>45665</v>
      </c>
      <c r="B33" s="1" t="s">
        <v>12</v>
      </c>
      <c r="C33" s="1" t="s">
        <v>41</v>
      </c>
      <c r="D33" s="1">
        <v>47</v>
      </c>
      <c r="E33" s="1">
        <v>47</v>
      </c>
      <c r="F33" s="1">
        <v>0</v>
      </c>
    </row>
    <row r="34" spans="1:6">
      <c r="A34" s="2">
        <v>45666</v>
      </c>
      <c r="B34" s="1" t="s">
        <v>6</v>
      </c>
      <c r="C34" s="1" t="s">
        <v>42</v>
      </c>
      <c r="D34" s="1">
        <v>78</v>
      </c>
      <c r="E34" s="1">
        <v>58</v>
      </c>
      <c r="F34" s="1">
        <v>20</v>
      </c>
    </row>
    <row r="35" spans="1:6">
      <c r="A35" s="2">
        <v>45666</v>
      </c>
      <c r="B35" s="1" t="s">
        <v>8</v>
      </c>
      <c r="C35" s="1" t="s">
        <v>43</v>
      </c>
      <c r="D35" s="1">
        <v>37</v>
      </c>
      <c r="E35" s="1">
        <v>28</v>
      </c>
      <c r="F35" s="1">
        <v>9</v>
      </c>
    </row>
    <row r="36" spans="1:6">
      <c r="A36" s="2">
        <v>45666</v>
      </c>
      <c r="B36" s="1" t="s">
        <v>10</v>
      </c>
      <c r="C36" s="1" t="s">
        <v>44</v>
      </c>
      <c r="D36" s="1">
        <v>53</v>
      </c>
      <c r="E36" s="1">
        <v>50</v>
      </c>
      <c r="F36" s="1">
        <v>3</v>
      </c>
    </row>
    <row r="37" spans="1:6">
      <c r="A37" s="2">
        <v>45666</v>
      </c>
      <c r="B37" s="1" t="s">
        <v>12</v>
      </c>
      <c r="C37" s="1" t="s">
        <v>45</v>
      </c>
      <c r="D37" s="1">
        <v>66</v>
      </c>
      <c r="E37" s="1">
        <v>53</v>
      </c>
      <c r="F37" s="1">
        <v>13</v>
      </c>
    </row>
    <row r="38" spans="1:6">
      <c r="A38" s="2">
        <v>45667</v>
      </c>
      <c r="B38" s="1" t="s">
        <v>6</v>
      </c>
      <c r="C38" s="1" t="s">
        <v>46</v>
      </c>
      <c r="D38" s="1">
        <v>85</v>
      </c>
      <c r="E38" s="1">
        <v>74</v>
      </c>
      <c r="F38" s="1">
        <v>11</v>
      </c>
    </row>
    <row r="39" spans="1:6">
      <c r="A39" s="2">
        <v>45667</v>
      </c>
      <c r="B39" s="1" t="s">
        <v>8</v>
      </c>
      <c r="C39" s="1" t="s">
        <v>47</v>
      </c>
      <c r="D39" s="1">
        <v>26</v>
      </c>
      <c r="E39" s="1">
        <v>19</v>
      </c>
      <c r="F39" s="1">
        <v>7</v>
      </c>
    </row>
    <row r="40" spans="1:6">
      <c r="A40" s="2">
        <v>45667</v>
      </c>
      <c r="B40" s="1" t="s">
        <v>10</v>
      </c>
      <c r="C40" s="1" t="s">
        <v>48</v>
      </c>
      <c r="D40" s="1">
        <v>100</v>
      </c>
      <c r="E40" s="1">
        <v>75</v>
      </c>
      <c r="F40" s="1">
        <v>25</v>
      </c>
    </row>
    <row r="41" spans="1:6">
      <c r="A41" s="2">
        <v>45667</v>
      </c>
      <c r="B41" s="1" t="s">
        <v>12</v>
      </c>
      <c r="C41" s="1" t="s">
        <v>49</v>
      </c>
      <c r="D41" s="1">
        <v>96</v>
      </c>
      <c r="E41" s="1">
        <v>69</v>
      </c>
      <c r="F41" s="1">
        <v>27</v>
      </c>
    </row>
    <row r="42" spans="1:6">
      <c r="A42" s="2">
        <v>45668</v>
      </c>
      <c r="B42" s="1" t="s">
        <v>6</v>
      </c>
      <c r="C42" s="1" t="s">
        <v>50</v>
      </c>
      <c r="D42" s="1">
        <v>68</v>
      </c>
      <c r="E42" s="1">
        <v>66</v>
      </c>
      <c r="F42" s="1">
        <v>2</v>
      </c>
    </row>
    <row r="43" spans="1:6">
      <c r="A43" s="2">
        <v>45668</v>
      </c>
      <c r="B43" s="1" t="s">
        <v>8</v>
      </c>
      <c r="C43" s="1" t="s">
        <v>51</v>
      </c>
      <c r="D43" s="1">
        <v>87</v>
      </c>
      <c r="E43" s="1">
        <v>68</v>
      </c>
      <c r="F43" s="1">
        <v>19</v>
      </c>
    </row>
    <row r="44" spans="1:6">
      <c r="A44" s="2">
        <v>45668</v>
      </c>
      <c r="B44" s="1" t="s">
        <v>10</v>
      </c>
      <c r="C44" s="1" t="s">
        <v>52</v>
      </c>
      <c r="D44" s="1">
        <v>34</v>
      </c>
      <c r="E44" s="1">
        <v>33</v>
      </c>
      <c r="F44" s="1">
        <v>1</v>
      </c>
    </row>
    <row r="45" spans="1:6">
      <c r="A45" s="2">
        <v>45668</v>
      </c>
      <c r="B45" s="1" t="s">
        <v>12</v>
      </c>
      <c r="C45" s="1" t="s">
        <v>53</v>
      </c>
      <c r="D45" s="1">
        <v>54</v>
      </c>
      <c r="E45" s="1">
        <v>47</v>
      </c>
      <c r="F45" s="1">
        <v>7</v>
      </c>
    </row>
    <row r="46" spans="1:6">
      <c r="A46" s="2">
        <v>45669</v>
      </c>
      <c r="B46" s="1" t="s">
        <v>6</v>
      </c>
      <c r="C46" s="1" t="s">
        <v>54</v>
      </c>
      <c r="D46" s="1">
        <v>57</v>
      </c>
      <c r="E46" s="1">
        <v>52</v>
      </c>
      <c r="F46" s="1">
        <v>5</v>
      </c>
    </row>
    <row r="47" spans="1:6">
      <c r="A47" s="2">
        <v>45669</v>
      </c>
      <c r="B47" s="1" t="s">
        <v>8</v>
      </c>
      <c r="C47" s="1" t="s">
        <v>55</v>
      </c>
      <c r="D47" s="1">
        <v>78</v>
      </c>
      <c r="E47" s="1">
        <v>54</v>
      </c>
      <c r="F47" s="1">
        <v>24</v>
      </c>
    </row>
    <row r="48" spans="1:6">
      <c r="A48" s="2">
        <v>45669</v>
      </c>
      <c r="B48" s="1" t="s">
        <v>10</v>
      </c>
      <c r="C48" s="1" t="s">
        <v>56</v>
      </c>
      <c r="D48" s="1">
        <v>84</v>
      </c>
      <c r="E48" s="1">
        <v>82</v>
      </c>
      <c r="F48" s="1">
        <v>2</v>
      </c>
    </row>
    <row r="49" spans="1:6">
      <c r="A49" s="2">
        <v>45669</v>
      </c>
      <c r="B49" s="1" t="s">
        <v>12</v>
      </c>
      <c r="C49" s="1" t="s">
        <v>57</v>
      </c>
      <c r="D49" s="1">
        <v>84</v>
      </c>
      <c r="E49" s="1">
        <v>61</v>
      </c>
      <c r="F49" s="1">
        <v>23</v>
      </c>
    </row>
    <row r="50" spans="1:6">
      <c r="A50" s="2">
        <v>45670</v>
      </c>
      <c r="B50" s="1" t="s">
        <v>6</v>
      </c>
      <c r="C50" s="1" t="s">
        <v>58</v>
      </c>
      <c r="D50" s="1">
        <v>84</v>
      </c>
      <c r="E50" s="1">
        <v>77</v>
      </c>
      <c r="F50" s="1">
        <v>7</v>
      </c>
    </row>
    <row r="51" spans="1:6">
      <c r="A51" s="2">
        <v>45670</v>
      </c>
      <c r="B51" s="1" t="s">
        <v>8</v>
      </c>
      <c r="C51" s="1" t="s">
        <v>59</v>
      </c>
      <c r="D51" s="1">
        <v>39</v>
      </c>
      <c r="E51" s="1">
        <v>32</v>
      </c>
      <c r="F51" s="1">
        <v>7</v>
      </c>
    </row>
    <row r="52" spans="1:6">
      <c r="A52" s="2">
        <v>45670</v>
      </c>
      <c r="B52" s="1" t="s">
        <v>10</v>
      </c>
      <c r="C52" s="1" t="s">
        <v>60</v>
      </c>
      <c r="D52" s="1">
        <v>89</v>
      </c>
      <c r="E52" s="1">
        <v>86</v>
      </c>
      <c r="F52" s="1">
        <v>3</v>
      </c>
    </row>
    <row r="53" spans="1:6">
      <c r="A53" s="2">
        <v>45670</v>
      </c>
      <c r="B53" s="1" t="s">
        <v>12</v>
      </c>
      <c r="C53" s="1" t="s">
        <v>61</v>
      </c>
      <c r="D53" s="1">
        <v>20</v>
      </c>
      <c r="E53" s="1">
        <v>18</v>
      </c>
      <c r="F53" s="1">
        <v>2</v>
      </c>
    </row>
    <row r="54" spans="1:6">
      <c r="A54" s="2">
        <v>45671</v>
      </c>
      <c r="B54" s="1" t="s">
        <v>6</v>
      </c>
      <c r="C54" s="1" t="s">
        <v>62</v>
      </c>
      <c r="D54" s="1">
        <v>82</v>
      </c>
      <c r="E54" s="1">
        <v>57</v>
      </c>
      <c r="F54" s="1">
        <v>25</v>
      </c>
    </row>
    <row r="55" spans="1:6">
      <c r="A55" s="2">
        <v>45671</v>
      </c>
      <c r="B55" s="1" t="s">
        <v>8</v>
      </c>
      <c r="C55" s="1" t="s">
        <v>63</v>
      </c>
      <c r="D55" s="1">
        <v>66</v>
      </c>
      <c r="E55" s="1">
        <v>55</v>
      </c>
      <c r="F55" s="1">
        <v>11</v>
      </c>
    </row>
    <row r="56" spans="1:6">
      <c r="A56" s="2">
        <v>45671</v>
      </c>
      <c r="B56" s="1" t="s">
        <v>10</v>
      </c>
      <c r="C56" s="1" t="s">
        <v>64</v>
      </c>
      <c r="D56" s="1">
        <v>27</v>
      </c>
      <c r="E56" s="1">
        <v>21</v>
      </c>
      <c r="F56" s="1">
        <v>6</v>
      </c>
    </row>
    <row r="57" spans="1:6">
      <c r="A57" s="2">
        <v>45671</v>
      </c>
      <c r="B57" s="1" t="s">
        <v>12</v>
      </c>
      <c r="C57" s="1" t="s">
        <v>65</v>
      </c>
      <c r="D57" s="1">
        <v>30</v>
      </c>
      <c r="E57" s="1">
        <v>28</v>
      </c>
      <c r="F57" s="1">
        <v>2</v>
      </c>
    </row>
    <row r="58" spans="1:6">
      <c r="A58" s="2">
        <v>45672</v>
      </c>
      <c r="B58" s="1" t="s">
        <v>6</v>
      </c>
      <c r="C58" s="1" t="s">
        <v>66</v>
      </c>
      <c r="D58" s="1">
        <v>88</v>
      </c>
      <c r="E58" s="1">
        <v>85</v>
      </c>
      <c r="F58" s="1">
        <v>3</v>
      </c>
    </row>
    <row r="59" spans="1:6">
      <c r="A59" s="2">
        <v>45672</v>
      </c>
      <c r="B59" s="1" t="s">
        <v>8</v>
      </c>
      <c r="C59" s="1" t="s">
        <v>67</v>
      </c>
      <c r="D59" s="1">
        <v>36</v>
      </c>
      <c r="E59" s="1">
        <v>35</v>
      </c>
      <c r="F59" s="1">
        <v>1</v>
      </c>
    </row>
    <row r="60" spans="1:6">
      <c r="A60" s="2">
        <v>45672</v>
      </c>
      <c r="B60" s="1" t="s">
        <v>10</v>
      </c>
      <c r="C60" s="1" t="s">
        <v>68</v>
      </c>
      <c r="D60" s="1">
        <v>90</v>
      </c>
      <c r="E60" s="1">
        <v>67</v>
      </c>
      <c r="F60" s="1">
        <v>23</v>
      </c>
    </row>
    <row r="61" spans="1:6">
      <c r="A61" s="2">
        <v>45672</v>
      </c>
      <c r="B61" s="1" t="s">
        <v>12</v>
      </c>
      <c r="C61" s="1" t="s">
        <v>69</v>
      </c>
      <c r="D61" s="1">
        <v>87</v>
      </c>
      <c r="E61" s="1">
        <v>87</v>
      </c>
      <c r="F61" s="1">
        <v>0</v>
      </c>
    </row>
    <row r="62" spans="1:6">
      <c r="A62" s="2">
        <v>45673</v>
      </c>
      <c r="B62" s="1" t="s">
        <v>6</v>
      </c>
      <c r="C62" s="1" t="s">
        <v>70</v>
      </c>
      <c r="D62" s="1">
        <v>47</v>
      </c>
      <c r="E62" s="1">
        <v>38</v>
      </c>
      <c r="F62" s="1">
        <v>9</v>
      </c>
    </row>
    <row r="63" spans="1:6">
      <c r="A63" s="2">
        <v>45673</v>
      </c>
      <c r="B63" s="1" t="s">
        <v>8</v>
      </c>
      <c r="C63" s="1" t="s">
        <v>71</v>
      </c>
      <c r="D63" s="1">
        <v>71</v>
      </c>
      <c r="E63" s="1">
        <v>70</v>
      </c>
      <c r="F63" s="1">
        <v>1</v>
      </c>
    </row>
    <row r="64" spans="1:6">
      <c r="A64" s="2">
        <v>45673</v>
      </c>
      <c r="B64" s="1" t="s">
        <v>10</v>
      </c>
      <c r="C64" s="1" t="s">
        <v>72</v>
      </c>
      <c r="D64" s="1">
        <v>76</v>
      </c>
      <c r="E64" s="1">
        <v>69</v>
      </c>
      <c r="F64" s="1">
        <v>7</v>
      </c>
    </row>
    <row r="65" spans="1:6">
      <c r="A65" s="2">
        <v>45673</v>
      </c>
      <c r="B65" s="1" t="s">
        <v>12</v>
      </c>
      <c r="C65" s="1" t="s">
        <v>73</v>
      </c>
      <c r="D65" s="1">
        <v>35</v>
      </c>
      <c r="E65" s="1">
        <v>27</v>
      </c>
      <c r="F65" s="1">
        <v>8</v>
      </c>
    </row>
    <row r="66" spans="1:6">
      <c r="A66" s="2">
        <v>45674</v>
      </c>
      <c r="B66" s="1" t="s">
        <v>6</v>
      </c>
      <c r="C66" s="1" t="s">
        <v>74</v>
      </c>
      <c r="D66" s="1">
        <v>28</v>
      </c>
      <c r="E66" s="1">
        <v>24</v>
      </c>
      <c r="F66" s="1">
        <v>4</v>
      </c>
    </row>
    <row r="67" spans="1:6">
      <c r="A67" s="2">
        <v>45674</v>
      </c>
      <c r="B67" s="1" t="s">
        <v>8</v>
      </c>
      <c r="C67" s="1" t="s">
        <v>75</v>
      </c>
      <c r="D67" s="1">
        <v>95</v>
      </c>
      <c r="E67" s="1">
        <v>83</v>
      </c>
      <c r="F67" s="1">
        <v>12</v>
      </c>
    </row>
    <row r="68" spans="1:6">
      <c r="A68" s="2">
        <v>45674</v>
      </c>
      <c r="B68" s="1" t="s">
        <v>10</v>
      </c>
      <c r="C68" s="1" t="s">
        <v>76</v>
      </c>
      <c r="D68" s="1">
        <v>95</v>
      </c>
      <c r="E68" s="1">
        <v>73</v>
      </c>
      <c r="F68" s="1">
        <v>22</v>
      </c>
    </row>
    <row r="69" spans="1:6">
      <c r="A69" s="2">
        <v>45674</v>
      </c>
      <c r="B69" s="1" t="s">
        <v>12</v>
      </c>
      <c r="C69" s="1" t="s">
        <v>77</v>
      </c>
      <c r="D69" s="1">
        <v>29</v>
      </c>
      <c r="E69" s="1">
        <v>20</v>
      </c>
      <c r="F69" s="1">
        <v>9</v>
      </c>
    </row>
    <row r="70" spans="1:6">
      <c r="A70" s="2">
        <v>45675</v>
      </c>
      <c r="B70" s="1" t="s">
        <v>6</v>
      </c>
      <c r="C70" s="1" t="s">
        <v>78</v>
      </c>
      <c r="D70" s="1">
        <v>28</v>
      </c>
      <c r="E70" s="1">
        <v>19</v>
      </c>
      <c r="F70" s="1">
        <v>9</v>
      </c>
    </row>
    <row r="71" spans="1:6">
      <c r="A71" s="2">
        <v>45675</v>
      </c>
      <c r="B71" s="1" t="s">
        <v>8</v>
      </c>
      <c r="C71" s="1" t="s">
        <v>79</v>
      </c>
      <c r="D71" s="1">
        <v>29</v>
      </c>
      <c r="E71" s="1">
        <v>28</v>
      </c>
      <c r="F71" s="1">
        <v>1</v>
      </c>
    </row>
    <row r="72" spans="1:6">
      <c r="A72" s="2">
        <v>45675</v>
      </c>
      <c r="B72" s="1" t="s">
        <v>10</v>
      </c>
      <c r="C72" s="1" t="s">
        <v>80</v>
      </c>
      <c r="D72" s="1">
        <v>55</v>
      </c>
      <c r="E72" s="1">
        <v>53</v>
      </c>
      <c r="F72" s="1">
        <v>2</v>
      </c>
    </row>
    <row r="73" spans="1:6">
      <c r="A73" s="2">
        <v>45675</v>
      </c>
      <c r="B73" s="1" t="s">
        <v>12</v>
      </c>
      <c r="C73" s="1" t="s">
        <v>81</v>
      </c>
      <c r="D73" s="1">
        <v>89</v>
      </c>
      <c r="E73" s="1">
        <v>66</v>
      </c>
      <c r="F73" s="1">
        <v>23</v>
      </c>
    </row>
    <row r="74" spans="1:6">
      <c r="A74" s="2">
        <v>45676</v>
      </c>
      <c r="B74" s="1" t="s">
        <v>6</v>
      </c>
      <c r="C74" s="1" t="s">
        <v>82</v>
      </c>
      <c r="D74" s="1">
        <v>51</v>
      </c>
      <c r="E74" s="1">
        <v>50</v>
      </c>
      <c r="F74" s="1">
        <v>1</v>
      </c>
    </row>
    <row r="75" spans="1:6">
      <c r="A75" s="2">
        <v>45676</v>
      </c>
      <c r="B75" s="1" t="s">
        <v>8</v>
      </c>
      <c r="C75" s="1" t="s">
        <v>83</v>
      </c>
      <c r="D75" s="1">
        <v>44</v>
      </c>
      <c r="E75" s="1">
        <v>31</v>
      </c>
      <c r="F75" s="1">
        <v>13</v>
      </c>
    </row>
    <row r="76" spans="1:6">
      <c r="A76" s="2">
        <v>45676</v>
      </c>
      <c r="B76" s="1" t="s">
        <v>10</v>
      </c>
      <c r="C76" s="1" t="s">
        <v>84</v>
      </c>
      <c r="D76" s="1">
        <v>75</v>
      </c>
      <c r="E76" s="1">
        <v>63</v>
      </c>
      <c r="F76" s="1">
        <v>12</v>
      </c>
    </row>
    <row r="77" spans="1:6">
      <c r="A77" s="2">
        <v>45676</v>
      </c>
      <c r="B77" s="1" t="s">
        <v>12</v>
      </c>
      <c r="C77" s="1" t="s">
        <v>85</v>
      </c>
      <c r="D77" s="1">
        <v>72</v>
      </c>
      <c r="E77" s="1">
        <v>64</v>
      </c>
      <c r="F77" s="1">
        <v>8</v>
      </c>
    </row>
    <row r="78" spans="1:6">
      <c r="A78" s="2">
        <v>45677</v>
      </c>
      <c r="B78" s="1" t="s">
        <v>6</v>
      </c>
      <c r="C78" s="1" t="s">
        <v>86</v>
      </c>
      <c r="D78" s="1">
        <v>32</v>
      </c>
      <c r="E78" s="1">
        <v>22</v>
      </c>
      <c r="F78" s="1">
        <v>10</v>
      </c>
    </row>
    <row r="79" spans="1:6">
      <c r="A79" s="2">
        <v>45677</v>
      </c>
      <c r="B79" s="1" t="s">
        <v>8</v>
      </c>
      <c r="C79" s="1" t="s">
        <v>87</v>
      </c>
      <c r="D79" s="1">
        <v>63</v>
      </c>
      <c r="E79" s="1">
        <v>47</v>
      </c>
      <c r="F79" s="1">
        <v>16</v>
      </c>
    </row>
    <row r="80" spans="1:6">
      <c r="A80" s="2">
        <v>45677</v>
      </c>
      <c r="B80" s="1" t="s">
        <v>10</v>
      </c>
      <c r="C80" s="1" t="s">
        <v>88</v>
      </c>
      <c r="D80" s="1">
        <v>44</v>
      </c>
      <c r="E80" s="1">
        <v>33</v>
      </c>
      <c r="F80" s="1">
        <v>11</v>
      </c>
    </row>
    <row r="81" spans="1:6">
      <c r="A81" s="2">
        <v>45677</v>
      </c>
      <c r="B81" s="1" t="s">
        <v>12</v>
      </c>
      <c r="C81" s="1" t="s">
        <v>89</v>
      </c>
      <c r="D81" s="1">
        <v>77</v>
      </c>
      <c r="E81" s="1">
        <v>57</v>
      </c>
      <c r="F81" s="1">
        <v>20</v>
      </c>
    </row>
    <row r="82" spans="1:6">
      <c r="A82" s="2">
        <v>45678</v>
      </c>
      <c r="B82" s="1" t="s">
        <v>6</v>
      </c>
      <c r="C82" s="1" t="s">
        <v>90</v>
      </c>
      <c r="D82" s="1">
        <v>43</v>
      </c>
      <c r="E82" s="1">
        <v>34</v>
      </c>
      <c r="F82" s="1">
        <v>9</v>
      </c>
    </row>
    <row r="83" spans="1:6">
      <c r="A83" s="2">
        <v>45678</v>
      </c>
      <c r="B83" s="1" t="s">
        <v>8</v>
      </c>
      <c r="C83" s="1" t="s">
        <v>91</v>
      </c>
      <c r="D83" s="1">
        <v>51</v>
      </c>
      <c r="E83" s="1">
        <v>37</v>
      </c>
      <c r="F83" s="1">
        <v>14</v>
      </c>
    </row>
    <row r="84" spans="1:6">
      <c r="A84" s="2">
        <v>45678</v>
      </c>
      <c r="B84" s="1" t="s">
        <v>10</v>
      </c>
      <c r="C84" s="1" t="s">
        <v>92</v>
      </c>
      <c r="D84" s="1">
        <v>90</v>
      </c>
      <c r="E84" s="1">
        <v>65</v>
      </c>
      <c r="F84" s="1">
        <v>25</v>
      </c>
    </row>
    <row r="85" spans="1:6">
      <c r="A85" s="2">
        <v>45678</v>
      </c>
      <c r="B85" s="1" t="s">
        <v>12</v>
      </c>
      <c r="C85" s="1" t="s">
        <v>93</v>
      </c>
      <c r="D85" s="1">
        <v>89</v>
      </c>
      <c r="E85" s="1">
        <v>88</v>
      </c>
      <c r="F85" s="1">
        <v>1</v>
      </c>
    </row>
    <row r="86" spans="1:6">
      <c r="A86" s="2">
        <v>45679</v>
      </c>
      <c r="B86" s="1" t="s">
        <v>6</v>
      </c>
      <c r="C86" s="1" t="s">
        <v>94</v>
      </c>
      <c r="D86" s="1">
        <v>31</v>
      </c>
      <c r="E86" s="1">
        <v>24</v>
      </c>
      <c r="F86" s="1">
        <v>7</v>
      </c>
    </row>
    <row r="87" spans="1:6">
      <c r="A87" s="2">
        <v>45679</v>
      </c>
      <c r="B87" s="1" t="s">
        <v>8</v>
      </c>
      <c r="C87" s="1" t="s">
        <v>95</v>
      </c>
      <c r="D87" s="1">
        <v>72</v>
      </c>
      <c r="E87" s="1">
        <v>65</v>
      </c>
      <c r="F87" s="1">
        <v>7</v>
      </c>
    </row>
    <row r="88" spans="1:6">
      <c r="A88" s="2">
        <v>45679</v>
      </c>
      <c r="B88" s="1" t="s">
        <v>10</v>
      </c>
      <c r="C88" s="1" t="s">
        <v>96</v>
      </c>
      <c r="D88" s="1">
        <v>47</v>
      </c>
      <c r="E88" s="1">
        <v>44</v>
      </c>
      <c r="F88" s="1">
        <v>3</v>
      </c>
    </row>
    <row r="89" spans="1:6">
      <c r="A89" s="2">
        <v>45679</v>
      </c>
      <c r="B89" s="1" t="s">
        <v>12</v>
      </c>
      <c r="C89" s="1" t="s">
        <v>97</v>
      </c>
      <c r="D89" s="1">
        <v>41</v>
      </c>
      <c r="E89" s="1">
        <v>34</v>
      </c>
      <c r="F89" s="1">
        <v>7</v>
      </c>
    </row>
    <row r="90" spans="1:6">
      <c r="A90" s="2">
        <v>45680</v>
      </c>
      <c r="B90" s="1" t="s">
        <v>6</v>
      </c>
      <c r="C90" s="1" t="s">
        <v>98</v>
      </c>
      <c r="D90" s="1">
        <v>69</v>
      </c>
      <c r="E90" s="1">
        <v>56</v>
      </c>
      <c r="F90" s="1">
        <v>13</v>
      </c>
    </row>
    <row r="91" spans="1:6">
      <c r="A91" s="2">
        <v>45680</v>
      </c>
      <c r="B91" s="1" t="s">
        <v>8</v>
      </c>
      <c r="C91" s="1" t="s">
        <v>99</v>
      </c>
      <c r="D91" s="1">
        <v>56</v>
      </c>
      <c r="E91" s="1">
        <v>52</v>
      </c>
      <c r="F91" s="1">
        <v>4</v>
      </c>
    </row>
    <row r="92" spans="1:6">
      <c r="A92" s="2">
        <v>45680</v>
      </c>
      <c r="B92" s="1" t="s">
        <v>10</v>
      </c>
      <c r="C92" s="1" t="s">
        <v>100</v>
      </c>
      <c r="D92" s="1">
        <v>39</v>
      </c>
      <c r="E92" s="1">
        <v>30</v>
      </c>
      <c r="F92" s="1">
        <v>9</v>
      </c>
    </row>
    <row r="93" spans="1:6">
      <c r="A93" s="2">
        <v>45680</v>
      </c>
      <c r="B93" s="1" t="s">
        <v>12</v>
      </c>
      <c r="C93" s="1" t="s">
        <v>101</v>
      </c>
      <c r="D93" s="1">
        <v>47</v>
      </c>
      <c r="E93" s="1">
        <v>33</v>
      </c>
      <c r="F93" s="1">
        <v>14</v>
      </c>
    </row>
    <row r="94" spans="1:6">
      <c r="A94" s="2">
        <v>45681</v>
      </c>
      <c r="B94" s="1" t="s">
        <v>6</v>
      </c>
      <c r="C94" s="1" t="s">
        <v>102</v>
      </c>
      <c r="D94" s="1">
        <v>27</v>
      </c>
      <c r="E94" s="1">
        <v>23</v>
      </c>
      <c r="F94" s="1">
        <v>4</v>
      </c>
    </row>
    <row r="95" spans="1:6">
      <c r="A95" s="2">
        <v>45681</v>
      </c>
      <c r="B95" s="1" t="s">
        <v>8</v>
      </c>
      <c r="C95" s="1" t="s">
        <v>103</v>
      </c>
      <c r="D95" s="1">
        <v>26</v>
      </c>
      <c r="E95" s="1">
        <v>25</v>
      </c>
      <c r="F95" s="1">
        <v>1</v>
      </c>
    </row>
    <row r="96" spans="1:6">
      <c r="A96" s="2">
        <v>45681</v>
      </c>
      <c r="B96" s="1" t="s">
        <v>10</v>
      </c>
      <c r="C96" s="1" t="s">
        <v>104</v>
      </c>
      <c r="D96" s="1">
        <v>87</v>
      </c>
      <c r="E96" s="1">
        <v>65</v>
      </c>
      <c r="F96" s="1">
        <v>22</v>
      </c>
    </row>
    <row r="97" spans="1:6">
      <c r="A97" s="2">
        <v>45681</v>
      </c>
      <c r="B97" s="1" t="s">
        <v>12</v>
      </c>
      <c r="C97" s="1" t="s">
        <v>105</v>
      </c>
      <c r="D97" s="1">
        <v>85</v>
      </c>
      <c r="E97" s="1">
        <v>61</v>
      </c>
      <c r="F97" s="1">
        <v>24</v>
      </c>
    </row>
    <row r="98" spans="1:6">
      <c r="A98" s="2">
        <v>45682</v>
      </c>
      <c r="B98" s="1" t="s">
        <v>6</v>
      </c>
      <c r="C98" s="1" t="s">
        <v>106</v>
      </c>
      <c r="D98" s="1">
        <v>28</v>
      </c>
      <c r="E98" s="1">
        <v>28</v>
      </c>
      <c r="F98" s="1">
        <v>0</v>
      </c>
    </row>
    <row r="99" spans="1:6">
      <c r="A99" s="2">
        <v>45682</v>
      </c>
      <c r="B99" s="1" t="s">
        <v>8</v>
      </c>
      <c r="C99" s="1" t="s">
        <v>107</v>
      </c>
      <c r="D99" s="1">
        <v>50</v>
      </c>
      <c r="E99" s="1">
        <v>47</v>
      </c>
      <c r="F99" s="1">
        <v>3</v>
      </c>
    </row>
    <row r="100" spans="1:6">
      <c r="A100" s="2">
        <v>45682</v>
      </c>
      <c r="B100" s="1" t="s">
        <v>10</v>
      </c>
      <c r="C100" s="1" t="s">
        <v>108</v>
      </c>
      <c r="D100" s="1">
        <v>92</v>
      </c>
      <c r="E100" s="1">
        <v>71</v>
      </c>
      <c r="F100" s="1">
        <v>21</v>
      </c>
    </row>
    <row r="101" spans="1:6">
      <c r="A101" s="2">
        <v>45682</v>
      </c>
      <c r="B101" s="1" t="s">
        <v>12</v>
      </c>
      <c r="C101" s="1" t="s">
        <v>109</v>
      </c>
      <c r="D101" s="1">
        <v>99</v>
      </c>
      <c r="E101" s="1">
        <v>71</v>
      </c>
      <c r="F101" s="1">
        <v>28</v>
      </c>
    </row>
    <row r="102" spans="1:6">
      <c r="A102" s="2">
        <v>45683</v>
      </c>
      <c r="B102" s="1" t="s">
        <v>6</v>
      </c>
      <c r="C102" s="1" t="s">
        <v>110</v>
      </c>
      <c r="D102" s="1">
        <v>94</v>
      </c>
      <c r="E102" s="1">
        <v>83</v>
      </c>
      <c r="F102" s="1">
        <v>11</v>
      </c>
    </row>
    <row r="103" spans="1:6">
      <c r="A103" s="2">
        <v>45683</v>
      </c>
      <c r="B103" s="1" t="s">
        <v>8</v>
      </c>
      <c r="C103" s="1" t="s">
        <v>111</v>
      </c>
      <c r="D103" s="1">
        <v>60</v>
      </c>
      <c r="E103" s="1">
        <v>50</v>
      </c>
      <c r="F103" s="1">
        <v>10</v>
      </c>
    </row>
    <row r="104" spans="1:6">
      <c r="A104" s="2">
        <v>45683</v>
      </c>
      <c r="B104" s="1" t="s">
        <v>10</v>
      </c>
      <c r="C104" s="1" t="s">
        <v>112</v>
      </c>
      <c r="D104" s="1">
        <v>60</v>
      </c>
      <c r="E104" s="1">
        <v>49</v>
      </c>
      <c r="F104" s="1">
        <v>11</v>
      </c>
    </row>
    <row r="105" spans="1:6">
      <c r="A105" s="2">
        <v>45683</v>
      </c>
      <c r="B105" s="1" t="s">
        <v>12</v>
      </c>
      <c r="C105" s="1" t="s">
        <v>113</v>
      </c>
      <c r="D105" s="1">
        <v>70</v>
      </c>
      <c r="E105" s="1">
        <v>53</v>
      </c>
      <c r="F105" s="1">
        <v>17</v>
      </c>
    </row>
    <row r="106" spans="1:6">
      <c r="A106" s="2">
        <v>45684</v>
      </c>
      <c r="B106" s="1" t="s">
        <v>6</v>
      </c>
      <c r="C106" s="1" t="s">
        <v>114</v>
      </c>
      <c r="D106" s="1">
        <v>78</v>
      </c>
      <c r="E106" s="1">
        <v>64</v>
      </c>
      <c r="F106" s="1">
        <v>14</v>
      </c>
    </row>
    <row r="107" spans="1:6">
      <c r="A107" s="2">
        <v>45684</v>
      </c>
      <c r="B107" s="1" t="s">
        <v>8</v>
      </c>
      <c r="C107" s="1" t="s">
        <v>115</v>
      </c>
      <c r="D107" s="1">
        <v>21</v>
      </c>
      <c r="E107" s="1">
        <v>21</v>
      </c>
      <c r="F107" s="1">
        <v>0</v>
      </c>
    </row>
    <row r="108" spans="1:6">
      <c r="A108" s="2">
        <v>45684</v>
      </c>
      <c r="B108" s="1" t="s">
        <v>10</v>
      </c>
      <c r="C108" s="1" t="s">
        <v>116</v>
      </c>
      <c r="D108" s="1">
        <v>29</v>
      </c>
      <c r="E108" s="1">
        <v>28</v>
      </c>
      <c r="F108" s="1">
        <v>1</v>
      </c>
    </row>
    <row r="109" spans="1:6">
      <c r="A109" s="2">
        <v>45684</v>
      </c>
      <c r="B109" s="1" t="s">
        <v>12</v>
      </c>
      <c r="C109" s="1" t="s">
        <v>117</v>
      </c>
      <c r="D109" s="1">
        <v>84</v>
      </c>
      <c r="E109" s="1">
        <v>66</v>
      </c>
      <c r="F109" s="1">
        <v>18</v>
      </c>
    </row>
    <row r="110" spans="1:6">
      <c r="A110" s="2">
        <v>45685</v>
      </c>
      <c r="B110" s="1" t="s">
        <v>6</v>
      </c>
      <c r="C110" s="1" t="s">
        <v>118</v>
      </c>
      <c r="D110" s="1">
        <v>64</v>
      </c>
      <c r="E110" s="1">
        <v>46</v>
      </c>
      <c r="F110" s="1">
        <v>18</v>
      </c>
    </row>
    <row r="111" spans="1:6">
      <c r="A111" s="2">
        <v>45685</v>
      </c>
      <c r="B111" s="1" t="s">
        <v>8</v>
      </c>
      <c r="C111" s="1" t="s">
        <v>119</v>
      </c>
      <c r="D111" s="1">
        <v>67</v>
      </c>
      <c r="E111" s="1">
        <v>55</v>
      </c>
      <c r="F111" s="1">
        <v>12</v>
      </c>
    </row>
    <row r="112" spans="1:6">
      <c r="A112" s="2">
        <v>45685</v>
      </c>
      <c r="B112" s="1" t="s">
        <v>10</v>
      </c>
      <c r="C112" s="1" t="s">
        <v>120</v>
      </c>
      <c r="D112" s="1">
        <v>76</v>
      </c>
      <c r="E112" s="1">
        <v>70</v>
      </c>
      <c r="F112" s="1">
        <v>6</v>
      </c>
    </row>
    <row r="113" spans="1:6">
      <c r="A113" s="2">
        <v>45685</v>
      </c>
      <c r="B113" s="1" t="s">
        <v>12</v>
      </c>
      <c r="C113" s="1" t="s">
        <v>121</v>
      </c>
      <c r="D113" s="1">
        <v>98</v>
      </c>
      <c r="E113" s="1">
        <v>93</v>
      </c>
      <c r="F113" s="1">
        <v>5</v>
      </c>
    </row>
    <row r="114" spans="1:6">
      <c r="A114" s="2">
        <v>45686</v>
      </c>
      <c r="B114" s="1" t="s">
        <v>6</v>
      </c>
      <c r="C114" s="1" t="s">
        <v>122</v>
      </c>
      <c r="D114" s="1">
        <v>21</v>
      </c>
      <c r="E114" s="1">
        <v>18</v>
      </c>
      <c r="F114" s="1">
        <v>3</v>
      </c>
    </row>
    <row r="115" spans="1:6">
      <c r="A115" s="2">
        <v>45686</v>
      </c>
      <c r="B115" s="1" t="s">
        <v>8</v>
      </c>
      <c r="C115" s="1" t="s">
        <v>123</v>
      </c>
      <c r="D115" s="1">
        <v>37</v>
      </c>
      <c r="E115" s="1">
        <v>29</v>
      </c>
      <c r="F115" s="1">
        <v>8</v>
      </c>
    </row>
    <row r="116" spans="1:6">
      <c r="A116" s="2">
        <v>45686</v>
      </c>
      <c r="B116" s="1" t="s">
        <v>10</v>
      </c>
      <c r="C116" s="1" t="s">
        <v>124</v>
      </c>
      <c r="D116" s="1">
        <v>33</v>
      </c>
      <c r="E116" s="1">
        <v>31</v>
      </c>
      <c r="F116" s="1">
        <v>2</v>
      </c>
    </row>
    <row r="117" spans="1:6">
      <c r="A117" s="2">
        <v>45686</v>
      </c>
      <c r="B117" s="1" t="s">
        <v>12</v>
      </c>
      <c r="C117" s="1" t="s">
        <v>125</v>
      </c>
      <c r="D117" s="1">
        <v>54</v>
      </c>
      <c r="E117" s="1">
        <v>46</v>
      </c>
      <c r="F117" s="1">
        <v>8</v>
      </c>
    </row>
    <row r="118" spans="1:6">
      <c r="A118" s="2">
        <v>45687</v>
      </c>
      <c r="B118" s="1" t="s">
        <v>6</v>
      </c>
      <c r="C118" s="1" t="s">
        <v>126</v>
      </c>
      <c r="D118" s="1">
        <v>63</v>
      </c>
      <c r="E118" s="1">
        <v>50</v>
      </c>
      <c r="F118" s="1">
        <v>13</v>
      </c>
    </row>
    <row r="119" spans="1:6">
      <c r="A119" s="2">
        <v>45687</v>
      </c>
      <c r="B119" s="1" t="s">
        <v>8</v>
      </c>
      <c r="C119" s="1" t="s">
        <v>127</v>
      </c>
      <c r="D119" s="1">
        <v>84</v>
      </c>
      <c r="E119" s="1">
        <v>73</v>
      </c>
      <c r="F119" s="1">
        <v>11</v>
      </c>
    </row>
    <row r="120" spans="1:6">
      <c r="A120" s="2">
        <v>45687</v>
      </c>
      <c r="B120" s="1" t="s">
        <v>10</v>
      </c>
      <c r="C120" s="1" t="s">
        <v>128</v>
      </c>
      <c r="D120" s="1">
        <v>26</v>
      </c>
      <c r="E120" s="1">
        <v>19</v>
      </c>
      <c r="F120" s="1">
        <v>7</v>
      </c>
    </row>
    <row r="121" spans="1:6">
      <c r="A121" s="2">
        <v>45687</v>
      </c>
      <c r="B121" s="1" t="s">
        <v>12</v>
      </c>
      <c r="C121" s="1" t="s">
        <v>85</v>
      </c>
      <c r="D121" s="1">
        <v>55</v>
      </c>
      <c r="E121" s="1">
        <v>39</v>
      </c>
      <c r="F121" s="1">
        <v>16</v>
      </c>
    </row>
    <row r="122" spans="1:6">
      <c r="A122" s="2">
        <v>45688</v>
      </c>
      <c r="B122" s="1" t="s">
        <v>6</v>
      </c>
      <c r="C122" s="1" t="s">
        <v>129</v>
      </c>
      <c r="D122" s="1">
        <v>62</v>
      </c>
      <c r="E122" s="1">
        <v>47</v>
      </c>
      <c r="F122" s="1">
        <v>15</v>
      </c>
    </row>
    <row r="123" spans="1:6">
      <c r="A123" s="2">
        <v>45688</v>
      </c>
      <c r="B123" s="1" t="s">
        <v>8</v>
      </c>
      <c r="C123" s="1" t="s">
        <v>130</v>
      </c>
      <c r="D123" s="1">
        <v>40</v>
      </c>
      <c r="E123" s="1">
        <v>39</v>
      </c>
      <c r="F123" s="1">
        <v>1</v>
      </c>
    </row>
    <row r="124" spans="1:6">
      <c r="A124" s="2">
        <v>45688</v>
      </c>
      <c r="B124" s="1" t="s">
        <v>10</v>
      </c>
      <c r="C124" s="1" t="s">
        <v>131</v>
      </c>
      <c r="D124" s="1">
        <v>90</v>
      </c>
      <c r="E124" s="1">
        <v>84</v>
      </c>
      <c r="F124" s="1">
        <v>6</v>
      </c>
    </row>
    <row r="125" spans="1:6">
      <c r="A125" s="2">
        <v>45688</v>
      </c>
      <c r="B125" s="1" t="s">
        <v>12</v>
      </c>
      <c r="C125" s="1" t="s">
        <v>132</v>
      </c>
      <c r="D125" s="1">
        <v>91</v>
      </c>
      <c r="E125" s="1">
        <v>63</v>
      </c>
      <c r="F125" s="1">
        <v>28</v>
      </c>
    </row>
    <row r="126" spans="1:6">
      <c r="A126" s="2">
        <v>45689</v>
      </c>
      <c r="B126" s="1" t="s">
        <v>6</v>
      </c>
      <c r="C126" s="1" t="s">
        <v>133</v>
      </c>
      <c r="D126" s="1">
        <v>29</v>
      </c>
      <c r="E126" s="1">
        <v>22</v>
      </c>
      <c r="F126" s="1">
        <v>7</v>
      </c>
    </row>
    <row r="127" spans="1:6">
      <c r="A127" s="2">
        <v>45689</v>
      </c>
      <c r="B127" s="1" t="s">
        <v>8</v>
      </c>
      <c r="C127" s="1" t="s">
        <v>134</v>
      </c>
      <c r="D127" s="1">
        <v>24</v>
      </c>
      <c r="E127" s="1">
        <v>21</v>
      </c>
      <c r="F127" s="1">
        <v>3</v>
      </c>
    </row>
    <row r="128" spans="1:6">
      <c r="A128" s="2">
        <v>45689</v>
      </c>
      <c r="B128" s="1" t="s">
        <v>10</v>
      </c>
      <c r="C128" s="1" t="s">
        <v>135</v>
      </c>
      <c r="D128" s="1">
        <v>75</v>
      </c>
      <c r="E128" s="1">
        <v>56</v>
      </c>
      <c r="F128" s="1">
        <v>19</v>
      </c>
    </row>
    <row r="129" spans="1:6">
      <c r="A129" s="2">
        <v>45689</v>
      </c>
      <c r="B129" s="1" t="s">
        <v>12</v>
      </c>
      <c r="C129" s="1" t="s">
        <v>136</v>
      </c>
      <c r="D129" s="1">
        <v>59</v>
      </c>
      <c r="E129" s="1">
        <v>52</v>
      </c>
      <c r="F129" s="1">
        <v>7</v>
      </c>
    </row>
    <row r="130" spans="1:6">
      <c r="A130" s="2">
        <v>45690</v>
      </c>
      <c r="B130" s="1" t="s">
        <v>6</v>
      </c>
      <c r="C130" s="1" t="s">
        <v>137</v>
      </c>
      <c r="D130" s="1">
        <v>65</v>
      </c>
      <c r="E130" s="1">
        <v>51</v>
      </c>
      <c r="F130" s="1">
        <v>14</v>
      </c>
    </row>
    <row r="131" spans="1:6">
      <c r="A131" s="2">
        <v>45690</v>
      </c>
      <c r="B131" s="1" t="s">
        <v>8</v>
      </c>
      <c r="C131" s="1" t="s">
        <v>138</v>
      </c>
      <c r="D131" s="1">
        <v>33</v>
      </c>
      <c r="E131" s="1">
        <v>28</v>
      </c>
      <c r="F131" s="1">
        <v>5</v>
      </c>
    </row>
    <row r="132" spans="1:6">
      <c r="A132" s="2">
        <v>45690</v>
      </c>
      <c r="B132" s="1" t="s">
        <v>10</v>
      </c>
      <c r="C132" s="1" t="s">
        <v>139</v>
      </c>
      <c r="D132" s="1">
        <v>99</v>
      </c>
      <c r="E132" s="1">
        <v>92</v>
      </c>
      <c r="F132" s="1">
        <v>7</v>
      </c>
    </row>
    <row r="133" spans="1:6">
      <c r="A133" s="2">
        <v>45690</v>
      </c>
      <c r="B133" s="1" t="s">
        <v>12</v>
      </c>
      <c r="C133" s="1" t="s">
        <v>140</v>
      </c>
      <c r="D133" s="1">
        <v>50</v>
      </c>
      <c r="E133" s="1">
        <v>40</v>
      </c>
      <c r="F133" s="1">
        <v>10</v>
      </c>
    </row>
    <row r="134" spans="1:6">
      <c r="A134" s="2">
        <v>45691</v>
      </c>
      <c r="B134" s="1" t="s">
        <v>6</v>
      </c>
      <c r="C134" s="1" t="s">
        <v>141</v>
      </c>
      <c r="D134" s="1">
        <v>72</v>
      </c>
      <c r="E134" s="1">
        <v>50</v>
      </c>
      <c r="F134" s="1">
        <v>22</v>
      </c>
    </row>
    <row r="135" spans="1:6">
      <c r="A135" s="2">
        <v>45691</v>
      </c>
      <c r="B135" s="1" t="s">
        <v>8</v>
      </c>
      <c r="C135" s="1" t="s">
        <v>142</v>
      </c>
      <c r="D135" s="1">
        <v>62</v>
      </c>
      <c r="E135" s="1">
        <v>56</v>
      </c>
      <c r="F135" s="1">
        <v>6</v>
      </c>
    </row>
    <row r="136" spans="1:6">
      <c r="A136" s="2">
        <v>45691</v>
      </c>
      <c r="B136" s="1" t="s">
        <v>10</v>
      </c>
      <c r="C136" s="1" t="s">
        <v>143</v>
      </c>
      <c r="D136" s="1">
        <v>54</v>
      </c>
      <c r="E136" s="1">
        <v>42</v>
      </c>
      <c r="F136" s="1">
        <v>12</v>
      </c>
    </row>
    <row r="137" spans="1:6">
      <c r="A137" s="2">
        <v>45691</v>
      </c>
      <c r="B137" s="1" t="s">
        <v>12</v>
      </c>
      <c r="C137" s="1" t="s">
        <v>144</v>
      </c>
      <c r="D137" s="1">
        <v>68</v>
      </c>
      <c r="E137" s="1">
        <v>48</v>
      </c>
      <c r="F137" s="1">
        <v>20</v>
      </c>
    </row>
    <row r="138" spans="1:6">
      <c r="A138" s="2">
        <v>45692</v>
      </c>
      <c r="B138" s="1" t="s">
        <v>6</v>
      </c>
      <c r="C138" s="1" t="s">
        <v>145</v>
      </c>
      <c r="D138" s="1">
        <v>48</v>
      </c>
      <c r="E138" s="1">
        <v>39</v>
      </c>
      <c r="F138" s="1">
        <v>9</v>
      </c>
    </row>
    <row r="139" spans="1:6">
      <c r="A139" s="2">
        <v>45692</v>
      </c>
      <c r="B139" s="1" t="s">
        <v>8</v>
      </c>
      <c r="C139" s="1" t="s">
        <v>146</v>
      </c>
      <c r="D139" s="1">
        <v>64</v>
      </c>
      <c r="E139" s="1">
        <v>53</v>
      </c>
      <c r="F139" s="1">
        <v>11</v>
      </c>
    </row>
    <row r="140" spans="1:6">
      <c r="A140" s="2">
        <v>45692</v>
      </c>
      <c r="B140" s="1" t="s">
        <v>10</v>
      </c>
      <c r="C140" s="1" t="s">
        <v>147</v>
      </c>
      <c r="D140" s="1">
        <v>48</v>
      </c>
      <c r="E140" s="1">
        <v>33</v>
      </c>
      <c r="F140" s="1">
        <v>15</v>
      </c>
    </row>
    <row r="141" spans="1:6">
      <c r="A141" s="2">
        <v>45692</v>
      </c>
      <c r="B141" s="1" t="s">
        <v>12</v>
      </c>
      <c r="C141" s="1" t="s">
        <v>148</v>
      </c>
      <c r="D141" s="1">
        <v>71</v>
      </c>
      <c r="E141" s="1">
        <v>59</v>
      </c>
      <c r="F141" s="1">
        <v>12</v>
      </c>
    </row>
    <row r="142" spans="1:6">
      <c r="A142" s="2">
        <v>45693</v>
      </c>
      <c r="B142" s="1" t="s">
        <v>6</v>
      </c>
      <c r="C142" s="1" t="s">
        <v>149</v>
      </c>
      <c r="D142" s="1">
        <v>28</v>
      </c>
      <c r="E142" s="1">
        <v>23</v>
      </c>
      <c r="F142" s="1">
        <v>5</v>
      </c>
    </row>
    <row r="143" spans="1:6">
      <c r="A143" s="2">
        <v>45693</v>
      </c>
      <c r="B143" s="1" t="s">
        <v>8</v>
      </c>
      <c r="C143" s="1" t="s">
        <v>150</v>
      </c>
      <c r="D143" s="1">
        <v>85</v>
      </c>
      <c r="E143" s="1">
        <v>71</v>
      </c>
      <c r="F143" s="1">
        <v>14</v>
      </c>
    </row>
    <row r="144" spans="1:6">
      <c r="A144" s="2">
        <v>45693</v>
      </c>
      <c r="B144" s="1" t="s">
        <v>10</v>
      </c>
      <c r="C144" s="1" t="s">
        <v>151</v>
      </c>
      <c r="D144" s="1">
        <v>62</v>
      </c>
      <c r="E144" s="1">
        <v>43</v>
      </c>
      <c r="F144" s="1">
        <v>19</v>
      </c>
    </row>
    <row r="145" spans="1:6">
      <c r="A145" s="2">
        <v>45693</v>
      </c>
      <c r="B145" s="1" t="s">
        <v>12</v>
      </c>
      <c r="C145" s="1" t="s">
        <v>152</v>
      </c>
      <c r="D145" s="1">
        <v>53</v>
      </c>
      <c r="E145" s="1">
        <v>42</v>
      </c>
      <c r="F145" s="1">
        <v>11</v>
      </c>
    </row>
    <row r="146" spans="1:6">
      <c r="A146" s="2">
        <v>45694</v>
      </c>
      <c r="B146" s="1" t="s">
        <v>6</v>
      </c>
      <c r="C146" s="1" t="s">
        <v>153</v>
      </c>
      <c r="D146" s="1">
        <v>24</v>
      </c>
      <c r="E146" s="1">
        <v>17</v>
      </c>
      <c r="F146" s="1">
        <v>7</v>
      </c>
    </row>
    <row r="147" spans="1:6">
      <c r="A147" s="2">
        <v>45694</v>
      </c>
      <c r="B147" s="1" t="s">
        <v>8</v>
      </c>
      <c r="C147" s="1" t="s">
        <v>154</v>
      </c>
      <c r="D147" s="1">
        <v>64</v>
      </c>
      <c r="E147" s="1">
        <v>54</v>
      </c>
      <c r="F147" s="1">
        <v>10</v>
      </c>
    </row>
    <row r="148" spans="1:6">
      <c r="A148" s="2">
        <v>45694</v>
      </c>
      <c r="B148" s="1" t="s">
        <v>10</v>
      </c>
      <c r="C148" s="1" t="s">
        <v>155</v>
      </c>
      <c r="D148" s="1">
        <v>97</v>
      </c>
      <c r="E148" s="1">
        <v>83</v>
      </c>
      <c r="F148" s="1">
        <v>14</v>
      </c>
    </row>
    <row r="149" spans="1:6">
      <c r="A149" s="2">
        <v>45694</v>
      </c>
      <c r="B149" s="1" t="s">
        <v>12</v>
      </c>
      <c r="C149" s="1" t="s">
        <v>156</v>
      </c>
      <c r="D149" s="1">
        <v>69</v>
      </c>
      <c r="E149" s="1">
        <v>66</v>
      </c>
      <c r="F149" s="1">
        <v>3</v>
      </c>
    </row>
    <row r="150" spans="1:6">
      <c r="A150" s="2">
        <v>45695</v>
      </c>
      <c r="B150" s="1" t="s">
        <v>6</v>
      </c>
      <c r="C150" s="1" t="s">
        <v>157</v>
      </c>
      <c r="D150" s="1">
        <v>52</v>
      </c>
      <c r="E150" s="1">
        <v>37</v>
      </c>
      <c r="F150" s="1">
        <v>15</v>
      </c>
    </row>
    <row r="151" spans="1:6">
      <c r="A151" s="2">
        <v>45695</v>
      </c>
      <c r="B151" s="1" t="s">
        <v>8</v>
      </c>
      <c r="C151" s="1" t="s">
        <v>158</v>
      </c>
      <c r="D151" s="1">
        <v>20</v>
      </c>
      <c r="E151" s="1">
        <v>18</v>
      </c>
      <c r="F151" s="1">
        <v>2</v>
      </c>
    </row>
    <row r="152" spans="1:6">
      <c r="A152" s="2">
        <v>45695</v>
      </c>
      <c r="B152" s="1" t="s">
        <v>10</v>
      </c>
      <c r="C152" s="1" t="s">
        <v>159</v>
      </c>
      <c r="D152" s="1">
        <v>45</v>
      </c>
      <c r="E152" s="1">
        <v>36</v>
      </c>
      <c r="F152" s="1">
        <v>9</v>
      </c>
    </row>
    <row r="153" spans="1:6">
      <c r="A153" s="2">
        <v>45695</v>
      </c>
      <c r="B153" s="1" t="s">
        <v>12</v>
      </c>
      <c r="C153" s="1" t="s">
        <v>160</v>
      </c>
      <c r="D153" s="1">
        <v>28</v>
      </c>
      <c r="E153" s="1">
        <v>24</v>
      </c>
      <c r="F153" s="1">
        <v>4</v>
      </c>
    </row>
    <row r="154" spans="1:6">
      <c r="A154" s="2">
        <v>45696</v>
      </c>
      <c r="B154" s="1" t="s">
        <v>6</v>
      </c>
      <c r="C154" s="1" t="s">
        <v>161</v>
      </c>
      <c r="D154" s="1">
        <v>35</v>
      </c>
      <c r="E154" s="1">
        <v>35</v>
      </c>
      <c r="F154" s="1">
        <v>0</v>
      </c>
    </row>
    <row r="155" spans="1:6">
      <c r="A155" s="2">
        <v>45696</v>
      </c>
      <c r="B155" s="1" t="s">
        <v>8</v>
      </c>
      <c r="C155" s="1" t="s">
        <v>162</v>
      </c>
      <c r="D155" s="1">
        <v>84</v>
      </c>
      <c r="E155" s="1">
        <v>67</v>
      </c>
      <c r="F155" s="1">
        <v>17</v>
      </c>
    </row>
    <row r="156" spans="1:6">
      <c r="A156" s="2">
        <v>45696</v>
      </c>
      <c r="B156" s="1" t="s">
        <v>10</v>
      </c>
      <c r="C156" s="1" t="s">
        <v>163</v>
      </c>
      <c r="D156" s="1">
        <v>61</v>
      </c>
      <c r="E156" s="1">
        <v>54</v>
      </c>
      <c r="F156" s="1">
        <v>7</v>
      </c>
    </row>
    <row r="157" spans="1:6">
      <c r="A157" s="2">
        <v>45696</v>
      </c>
      <c r="B157" s="1" t="s">
        <v>12</v>
      </c>
      <c r="C157" s="1" t="s">
        <v>164</v>
      </c>
      <c r="D157" s="1">
        <v>90</v>
      </c>
      <c r="E157" s="1">
        <v>66</v>
      </c>
      <c r="F157" s="1">
        <v>24</v>
      </c>
    </row>
    <row r="158" spans="1:6">
      <c r="A158" s="2">
        <v>45697</v>
      </c>
      <c r="B158" s="1" t="s">
        <v>6</v>
      </c>
      <c r="C158" s="1" t="s">
        <v>165</v>
      </c>
      <c r="D158" s="1">
        <v>73</v>
      </c>
      <c r="E158" s="1">
        <v>72</v>
      </c>
      <c r="F158" s="1">
        <v>1</v>
      </c>
    </row>
    <row r="159" spans="1:6">
      <c r="A159" s="2">
        <v>45697</v>
      </c>
      <c r="B159" s="1" t="s">
        <v>8</v>
      </c>
      <c r="C159" s="1" t="s">
        <v>166</v>
      </c>
      <c r="D159" s="1">
        <v>42</v>
      </c>
      <c r="E159" s="1">
        <v>38</v>
      </c>
      <c r="F159" s="1">
        <v>4</v>
      </c>
    </row>
    <row r="160" spans="1:6">
      <c r="A160" s="2">
        <v>45697</v>
      </c>
      <c r="B160" s="1" t="s">
        <v>10</v>
      </c>
      <c r="C160" s="1" t="s">
        <v>167</v>
      </c>
      <c r="D160" s="1">
        <v>71</v>
      </c>
      <c r="E160" s="1">
        <v>66</v>
      </c>
      <c r="F160" s="1">
        <v>5</v>
      </c>
    </row>
    <row r="161" spans="1:6">
      <c r="A161" s="2">
        <v>45697</v>
      </c>
      <c r="B161" s="1" t="s">
        <v>12</v>
      </c>
      <c r="C161" s="1" t="s">
        <v>168</v>
      </c>
      <c r="D161" s="1">
        <v>58</v>
      </c>
      <c r="E161" s="1">
        <v>49</v>
      </c>
      <c r="F161" s="1">
        <v>9</v>
      </c>
    </row>
    <row r="162" spans="1:6">
      <c r="A162" s="2">
        <v>45698</v>
      </c>
      <c r="B162" s="1" t="s">
        <v>6</v>
      </c>
      <c r="C162" s="1" t="s">
        <v>169</v>
      </c>
      <c r="D162" s="1">
        <v>75</v>
      </c>
      <c r="E162" s="1">
        <v>70</v>
      </c>
      <c r="F162" s="1">
        <v>5</v>
      </c>
    </row>
    <row r="163" spans="1:6">
      <c r="A163" s="2">
        <v>45698</v>
      </c>
      <c r="B163" s="1" t="s">
        <v>8</v>
      </c>
      <c r="C163" s="1" t="s">
        <v>170</v>
      </c>
      <c r="D163" s="1">
        <v>79</v>
      </c>
      <c r="E163" s="1">
        <v>69</v>
      </c>
      <c r="F163" s="1">
        <v>10</v>
      </c>
    </row>
    <row r="164" spans="1:6">
      <c r="A164" s="2">
        <v>45698</v>
      </c>
      <c r="B164" s="1" t="s">
        <v>10</v>
      </c>
      <c r="C164" s="1" t="s">
        <v>171</v>
      </c>
      <c r="D164" s="1">
        <v>47</v>
      </c>
      <c r="E164" s="1">
        <v>47</v>
      </c>
      <c r="F164" s="1">
        <v>0</v>
      </c>
    </row>
    <row r="165" spans="1:6">
      <c r="A165" s="2">
        <v>45698</v>
      </c>
      <c r="B165" s="1" t="s">
        <v>12</v>
      </c>
      <c r="C165" s="1" t="s">
        <v>172</v>
      </c>
      <c r="D165" s="1">
        <v>30</v>
      </c>
      <c r="E165" s="1">
        <v>25</v>
      </c>
      <c r="F165" s="1">
        <v>5</v>
      </c>
    </row>
    <row r="166" spans="1:6">
      <c r="A166" s="2">
        <v>45699</v>
      </c>
      <c r="B166" s="1" t="s">
        <v>6</v>
      </c>
      <c r="C166" s="1" t="s">
        <v>173</v>
      </c>
      <c r="D166" s="1">
        <v>99</v>
      </c>
      <c r="E166" s="1">
        <v>79</v>
      </c>
      <c r="F166" s="1">
        <v>20</v>
      </c>
    </row>
    <row r="167" spans="1:6">
      <c r="A167" s="2">
        <v>45699</v>
      </c>
      <c r="B167" s="1" t="s">
        <v>8</v>
      </c>
      <c r="C167" s="1" t="s">
        <v>174</v>
      </c>
      <c r="D167" s="1">
        <v>50</v>
      </c>
      <c r="E167" s="1">
        <v>44</v>
      </c>
      <c r="F167" s="1">
        <v>6</v>
      </c>
    </row>
    <row r="168" spans="1:6">
      <c r="A168" s="2">
        <v>45699</v>
      </c>
      <c r="B168" s="1" t="s">
        <v>10</v>
      </c>
      <c r="C168" s="1" t="s">
        <v>175</v>
      </c>
      <c r="D168" s="1">
        <v>45</v>
      </c>
      <c r="E168" s="1">
        <v>33</v>
      </c>
      <c r="F168" s="1">
        <v>12</v>
      </c>
    </row>
    <row r="169" spans="1:6">
      <c r="A169" s="2">
        <v>45699</v>
      </c>
      <c r="B169" s="1" t="s">
        <v>12</v>
      </c>
      <c r="C169" s="1" t="s">
        <v>176</v>
      </c>
      <c r="D169" s="1">
        <v>25</v>
      </c>
      <c r="E169" s="1">
        <v>20</v>
      </c>
      <c r="F169" s="1">
        <v>5</v>
      </c>
    </row>
    <row r="170" spans="1:6">
      <c r="A170" s="2">
        <v>45700</v>
      </c>
      <c r="B170" s="1" t="s">
        <v>6</v>
      </c>
      <c r="C170" s="1" t="s">
        <v>177</v>
      </c>
      <c r="D170" s="1">
        <v>98</v>
      </c>
      <c r="E170" s="1">
        <v>95</v>
      </c>
      <c r="F170" s="1">
        <v>3</v>
      </c>
    </row>
    <row r="171" spans="1:6">
      <c r="A171" s="2">
        <v>45700</v>
      </c>
      <c r="B171" s="1" t="s">
        <v>8</v>
      </c>
      <c r="C171" s="1" t="s">
        <v>178</v>
      </c>
      <c r="D171" s="1">
        <v>78</v>
      </c>
      <c r="E171" s="1">
        <v>67</v>
      </c>
      <c r="F171" s="1">
        <v>11</v>
      </c>
    </row>
    <row r="172" spans="1:6">
      <c r="A172" s="2">
        <v>45700</v>
      </c>
      <c r="B172" s="1" t="s">
        <v>10</v>
      </c>
      <c r="C172" s="1" t="s">
        <v>179</v>
      </c>
      <c r="D172" s="1">
        <v>69</v>
      </c>
      <c r="E172" s="1">
        <v>63</v>
      </c>
      <c r="F172" s="1">
        <v>6</v>
      </c>
    </row>
    <row r="173" spans="1:6">
      <c r="A173" s="2">
        <v>45700</v>
      </c>
      <c r="B173" s="1" t="s">
        <v>12</v>
      </c>
      <c r="C173" s="1" t="s">
        <v>180</v>
      </c>
      <c r="D173" s="1">
        <v>51</v>
      </c>
      <c r="E173" s="1">
        <v>39</v>
      </c>
      <c r="F173" s="1">
        <v>12</v>
      </c>
    </row>
    <row r="174" spans="1:6">
      <c r="A174" s="2">
        <v>45701</v>
      </c>
      <c r="B174" s="1" t="s">
        <v>6</v>
      </c>
      <c r="C174" s="1" t="s">
        <v>181</v>
      </c>
      <c r="D174" s="1">
        <v>33</v>
      </c>
      <c r="E174" s="1">
        <v>29</v>
      </c>
      <c r="F174" s="1">
        <v>4</v>
      </c>
    </row>
    <row r="175" spans="1:6">
      <c r="A175" s="2">
        <v>45701</v>
      </c>
      <c r="B175" s="1" t="s">
        <v>8</v>
      </c>
      <c r="C175" s="1" t="s">
        <v>182</v>
      </c>
      <c r="D175" s="1">
        <v>42</v>
      </c>
      <c r="E175" s="1">
        <v>41</v>
      </c>
      <c r="F175" s="1">
        <v>1</v>
      </c>
    </row>
    <row r="176" spans="1:6">
      <c r="A176" s="2">
        <v>45701</v>
      </c>
      <c r="B176" s="1" t="s">
        <v>10</v>
      </c>
      <c r="C176" s="1" t="s">
        <v>183</v>
      </c>
      <c r="D176" s="1">
        <v>79</v>
      </c>
      <c r="E176" s="1">
        <v>56</v>
      </c>
      <c r="F176" s="1">
        <v>23</v>
      </c>
    </row>
    <row r="177" spans="1:6">
      <c r="A177" s="2">
        <v>45701</v>
      </c>
      <c r="B177" s="1" t="s">
        <v>12</v>
      </c>
      <c r="C177" s="1" t="s">
        <v>184</v>
      </c>
      <c r="D177" s="1">
        <v>35</v>
      </c>
      <c r="E177" s="1">
        <v>31</v>
      </c>
      <c r="F177" s="1">
        <v>4</v>
      </c>
    </row>
    <row r="178" spans="1:6">
      <c r="A178" s="2">
        <v>45702</v>
      </c>
      <c r="B178" s="1" t="s">
        <v>6</v>
      </c>
      <c r="C178" s="1" t="s">
        <v>185</v>
      </c>
      <c r="D178" s="1">
        <v>79</v>
      </c>
      <c r="E178" s="1">
        <v>76</v>
      </c>
      <c r="F178" s="1">
        <v>3</v>
      </c>
    </row>
    <row r="179" spans="1:6">
      <c r="A179" s="2">
        <v>45702</v>
      </c>
      <c r="B179" s="1" t="s">
        <v>8</v>
      </c>
      <c r="C179" s="1" t="s">
        <v>186</v>
      </c>
      <c r="D179" s="1">
        <v>91</v>
      </c>
      <c r="E179" s="1">
        <v>82</v>
      </c>
      <c r="F179" s="1">
        <v>9</v>
      </c>
    </row>
    <row r="180" spans="1:6">
      <c r="A180" s="2">
        <v>45702</v>
      </c>
      <c r="B180" s="1" t="s">
        <v>10</v>
      </c>
      <c r="C180" s="1" t="s">
        <v>187</v>
      </c>
      <c r="D180" s="1">
        <v>76</v>
      </c>
      <c r="E180" s="1">
        <v>72</v>
      </c>
      <c r="F180" s="1">
        <v>4</v>
      </c>
    </row>
    <row r="181" spans="1:6">
      <c r="A181" s="2">
        <v>45702</v>
      </c>
      <c r="B181" s="1" t="s">
        <v>12</v>
      </c>
      <c r="C181" s="1" t="s">
        <v>188</v>
      </c>
      <c r="D181" s="1">
        <v>74</v>
      </c>
      <c r="E181" s="1">
        <v>68</v>
      </c>
      <c r="F181" s="1">
        <v>6</v>
      </c>
    </row>
    <row r="182" spans="1:6">
      <c r="A182" s="2">
        <v>45703</v>
      </c>
      <c r="B182" s="1" t="s">
        <v>6</v>
      </c>
      <c r="C182" s="1" t="s">
        <v>189</v>
      </c>
      <c r="D182" s="1">
        <v>40</v>
      </c>
      <c r="E182" s="1">
        <v>39</v>
      </c>
      <c r="F182" s="1">
        <v>1</v>
      </c>
    </row>
    <row r="183" spans="1:6">
      <c r="A183" s="2">
        <v>45703</v>
      </c>
      <c r="B183" s="1" t="s">
        <v>8</v>
      </c>
      <c r="C183" s="1" t="s">
        <v>190</v>
      </c>
      <c r="D183" s="1">
        <v>77</v>
      </c>
      <c r="E183" s="1">
        <v>61</v>
      </c>
      <c r="F183" s="1">
        <v>16</v>
      </c>
    </row>
    <row r="184" spans="1:6">
      <c r="A184" s="2">
        <v>45703</v>
      </c>
      <c r="B184" s="1" t="s">
        <v>10</v>
      </c>
      <c r="C184" s="1" t="s">
        <v>191</v>
      </c>
      <c r="D184" s="1">
        <v>55</v>
      </c>
      <c r="E184" s="1">
        <v>54</v>
      </c>
      <c r="F184" s="1">
        <v>1</v>
      </c>
    </row>
    <row r="185" spans="1:6">
      <c r="A185" s="2">
        <v>45703</v>
      </c>
      <c r="B185" s="1" t="s">
        <v>12</v>
      </c>
      <c r="C185" s="1" t="s">
        <v>192</v>
      </c>
      <c r="D185" s="1">
        <v>100</v>
      </c>
      <c r="E185" s="1">
        <v>77</v>
      </c>
      <c r="F185" s="1">
        <v>23</v>
      </c>
    </row>
    <row r="186" spans="1:6">
      <c r="A186" s="2">
        <v>45704</v>
      </c>
      <c r="B186" s="1" t="s">
        <v>6</v>
      </c>
      <c r="C186" s="1" t="s">
        <v>193</v>
      </c>
      <c r="D186" s="1">
        <v>76</v>
      </c>
      <c r="E186" s="1">
        <v>55</v>
      </c>
      <c r="F186" s="1">
        <v>21</v>
      </c>
    </row>
    <row r="187" spans="1:6">
      <c r="A187" s="2">
        <v>45704</v>
      </c>
      <c r="B187" s="1" t="s">
        <v>8</v>
      </c>
      <c r="C187" s="1" t="s">
        <v>194</v>
      </c>
      <c r="D187" s="1">
        <v>50</v>
      </c>
      <c r="E187" s="1">
        <v>43</v>
      </c>
      <c r="F187" s="1">
        <v>7</v>
      </c>
    </row>
    <row r="188" spans="1:6">
      <c r="A188" s="2">
        <v>45704</v>
      </c>
      <c r="B188" s="1" t="s">
        <v>10</v>
      </c>
      <c r="C188" s="1" t="s">
        <v>195</v>
      </c>
      <c r="D188" s="1">
        <v>60</v>
      </c>
      <c r="E188" s="1">
        <v>59</v>
      </c>
      <c r="F188" s="1">
        <v>1</v>
      </c>
    </row>
    <row r="189" spans="1:6">
      <c r="A189" s="2">
        <v>45704</v>
      </c>
      <c r="B189" s="1" t="s">
        <v>12</v>
      </c>
      <c r="C189" s="1" t="s">
        <v>196</v>
      </c>
      <c r="D189" s="1">
        <v>37</v>
      </c>
      <c r="E189" s="1">
        <v>27</v>
      </c>
      <c r="F189" s="1">
        <v>10</v>
      </c>
    </row>
    <row r="190" spans="1:6">
      <c r="A190" s="2">
        <v>45705</v>
      </c>
      <c r="B190" s="1" t="s">
        <v>6</v>
      </c>
      <c r="C190" s="1" t="s">
        <v>197</v>
      </c>
      <c r="D190" s="1">
        <v>69</v>
      </c>
      <c r="E190" s="1">
        <v>52</v>
      </c>
      <c r="F190" s="1">
        <v>17</v>
      </c>
    </row>
    <row r="191" spans="1:6">
      <c r="A191" s="2">
        <v>45705</v>
      </c>
      <c r="B191" s="1" t="s">
        <v>8</v>
      </c>
      <c r="C191" s="1" t="s">
        <v>198</v>
      </c>
      <c r="D191" s="1">
        <v>28</v>
      </c>
      <c r="E191" s="1">
        <v>25</v>
      </c>
      <c r="F191" s="1">
        <v>3</v>
      </c>
    </row>
    <row r="192" spans="1:6">
      <c r="A192" s="2">
        <v>45705</v>
      </c>
      <c r="B192" s="1" t="s">
        <v>10</v>
      </c>
      <c r="C192" s="1" t="s">
        <v>199</v>
      </c>
      <c r="D192" s="1">
        <v>62</v>
      </c>
      <c r="E192" s="1">
        <v>60</v>
      </c>
      <c r="F192" s="1">
        <v>2</v>
      </c>
    </row>
    <row r="193" spans="1:6">
      <c r="A193" s="2">
        <v>45705</v>
      </c>
      <c r="B193" s="1" t="s">
        <v>12</v>
      </c>
      <c r="C193" s="1" t="s">
        <v>200</v>
      </c>
      <c r="D193" s="1">
        <v>73</v>
      </c>
      <c r="E193" s="1">
        <v>52</v>
      </c>
      <c r="F193" s="1">
        <v>21</v>
      </c>
    </row>
    <row r="194" spans="1:6">
      <c r="A194" s="2">
        <v>45706</v>
      </c>
      <c r="B194" s="1" t="s">
        <v>6</v>
      </c>
      <c r="C194" s="1" t="s">
        <v>201</v>
      </c>
      <c r="D194" s="1">
        <v>73</v>
      </c>
      <c r="E194" s="1">
        <v>63</v>
      </c>
      <c r="F194" s="1">
        <v>10</v>
      </c>
    </row>
    <row r="195" spans="1:6">
      <c r="A195" s="2">
        <v>45706</v>
      </c>
      <c r="B195" s="1" t="s">
        <v>8</v>
      </c>
      <c r="C195" s="1" t="s">
        <v>202</v>
      </c>
      <c r="D195" s="1">
        <v>93</v>
      </c>
      <c r="E195" s="1">
        <v>77</v>
      </c>
      <c r="F195" s="1">
        <v>16</v>
      </c>
    </row>
    <row r="196" spans="1:6">
      <c r="A196" s="2">
        <v>45706</v>
      </c>
      <c r="B196" s="1" t="s">
        <v>10</v>
      </c>
      <c r="C196" s="1" t="s">
        <v>203</v>
      </c>
      <c r="D196" s="1">
        <v>20</v>
      </c>
      <c r="E196" s="1">
        <v>16</v>
      </c>
      <c r="F196" s="1">
        <v>4</v>
      </c>
    </row>
    <row r="197" spans="1:6">
      <c r="A197" s="2">
        <v>45706</v>
      </c>
      <c r="B197" s="1" t="s">
        <v>12</v>
      </c>
      <c r="C197" s="1" t="s">
        <v>204</v>
      </c>
      <c r="D197" s="1">
        <v>69</v>
      </c>
      <c r="E197" s="1">
        <v>61</v>
      </c>
      <c r="F197" s="1">
        <v>8</v>
      </c>
    </row>
    <row r="198" spans="1:6">
      <c r="A198" s="2">
        <v>45707</v>
      </c>
      <c r="B198" s="1" t="s">
        <v>6</v>
      </c>
      <c r="C198" s="1" t="s">
        <v>205</v>
      </c>
      <c r="D198" s="1">
        <v>89</v>
      </c>
      <c r="E198" s="1">
        <v>87</v>
      </c>
      <c r="F198" s="1">
        <v>2</v>
      </c>
    </row>
    <row r="199" spans="1:6">
      <c r="A199" s="2">
        <v>45707</v>
      </c>
      <c r="B199" s="1" t="s">
        <v>8</v>
      </c>
      <c r="C199" s="1" t="s">
        <v>206</v>
      </c>
      <c r="D199" s="1">
        <v>82</v>
      </c>
      <c r="E199" s="1">
        <v>64</v>
      </c>
      <c r="F199" s="1">
        <v>18</v>
      </c>
    </row>
    <row r="200" spans="1:6">
      <c r="A200" s="2">
        <v>45707</v>
      </c>
      <c r="B200" s="1" t="s">
        <v>10</v>
      </c>
      <c r="C200" s="1" t="s">
        <v>207</v>
      </c>
      <c r="D200" s="1">
        <v>75</v>
      </c>
      <c r="E200" s="1">
        <v>67</v>
      </c>
      <c r="F200" s="1">
        <v>8</v>
      </c>
    </row>
    <row r="201" spans="1:6">
      <c r="A201" s="2">
        <v>45707</v>
      </c>
      <c r="B201" s="1" t="s">
        <v>12</v>
      </c>
      <c r="C201" s="1" t="s">
        <v>208</v>
      </c>
      <c r="D201" s="1">
        <v>69</v>
      </c>
      <c r="E201" s="1">
        <v>58</v>
      </c>
      <c r="F201" s="1">
        <v>11</v>
      </c>
    </row>
    <row r="202" spans="1:6">
      <c r="A202" s="2">
        <v>45708</v>
      </c>
      <c r="B202" s="1" t="s">
        <v>6</v>
      </c>
      <c r="C202" s="1" t="s">
        <v>209</v>
      </c>
      <c r="D202" s="1">
        <v>41</v>
      </c>
      <c r="E202" s="1">
        <v>41</v>
      </c>
      <c r="F202" s="1">
        <v>0</v>
      </c>
    </row>
    <row r="203" spans="1:6">
      <c r="A203" s="2">
        <v>45708</v>
      </c>
      <c r="B203" s="1" t="s">
        <v>8</v>
      </c>
      <c r="C203" s="1" t="s">
        <v>210</v>
      </c>
      <c r="D203" s="1">
        <v>36</v>
      </c>
      <c r="E203" s="1">
        <v>34</v>
      </c>
      <c r="F203" s="1">
        <v>2</v>
      </c>
    </row>
    <row r="204" spans="1:6">
      <c r="A204" s="2">
        <v>45708</v>
      </c>
      <c r="B204" s="1" t="s">
        <v>10</v>
      </c>
      <c r="C204" s="1" t="s">
        <v>211</v>
      </c>
      <c r="D204" s="1">
        <v>23</v>
      </c>
      <c r="E204" s="1">
        <v>22</v>
      </c>
      <c r="F204" s="1">
        <v>1</v>
      </c>
    </row>
    <row r="205" spans="1:6">
      <c r="A205" s="2">
        <v>45708</v>
      </c>
      <c r="B205" s="1" t="s">
        <v>12</v>
      </c>
      <c r="C205" s="1" t="s">
        <v>212</v>
      </c>
      <c r="D205" s="1">
        <v>30</v>
      </c>
      <c r="E205" s="1">
        <v>27</v>
      </c>
      <c r="F205" s="1">
        <v>3</v>
      </c>
    </row>
    <row r="206" spans="1:6">
      <c r="A206" s="2">
        <v>45709</v>
      </c>
      <c r="B206" s="1" t="s">
        <v>6</v>
      </c>
      <c r="C206" s="1" t="s">
        <v>213</v>
      </c>
      <c r="D206" s="1">
        <v>79</v>
      </c>
      <c r="E206" s="1">
        <v>60</v>
      </c>
      <c r="F206" s="1">
        <v>19</v>
      </c>
    </row>
    <row r="207" spans="1:6">
      <c r="A207" s="2">
        <v>45709</v>
      </c>
      <c r="B207" s="1" t="s">
        <v>8</v>
      </c>
      <c r="C207" s="1" t="s">
        <v>214</v>
      </c>
      <c r="D207" s="1">
        <v>53</v>
      </c>
      <c r="E207" s="1">
        <v>49</v>
      </c>
      <c r="F207" s="1">
        <v>4</v>
      </c>
    </row>
    <row r="208" spans="1:6">
      <c r="A208" s="2">
        <v>45709</v>
      </c>
      <c r="B208" s="1" t="s">
        <v>10</v>
      </c>
      <c r="C208" s="1" t="s">
        <v>215</v>
      </c>
      <c r="D208" s="1">
        <v>47</v>
      </c>
      <c r="E208" s="1">
        <v>46</v>
      </c>
      <c r="F208" s="1">
        <v>1</v>
      </c>
    </row>
    <row r="209" spans="1:6">
      <c r="A209" s="2">
        <v>45709</v>
      </c>
      <c r="B209" s="1" t="s">
        <v>12</v>
      </c>
      <c r="C209" s="1" t="s">
        <v>216</v>
      </c>
      <c r="D209" s="1">
        <v>63</v>
      </c>
      <c r="E209" s="1">
        <v>56</v>
      </c>
      <c r="F209" s="1">
        <v>7</v>
      </c>
    </row>
    <row r="210" spans="1:6">
      <c r="A210" s="2">
        <v>45710</v>
      </c>
      <c r="B210" s="1" t="s">
        <v>6</v>
      </c>
      <c r="C210" s="1" t="s">
        <v>217</v>
      </c>
      <c r="D210" s="1">
        <v>73</v>
      </c>
      <c r="E210" s="1">
        <v>59</v>
      </c>
      <c r="F210" s="1">
        <v>14</v>
      </c>
    </row>
    <row r="211" spans="1:6">
      <c r="A211" s="2">
        <v>45710</v>
      </c>
      <c r="B211" s="1" t="s">
        <v>8</v>
      </c>
      <c r="C211" s="1" t="s">
        <v>218</v>
      </c>
      <c r="D211" s="1">
        <v>80</v>
      </c>
      <c r="E211" s="1">
        <v>56</v>
      </c>
      <c r="F211" s="1">
        <v>24</v>
      </c>
    </row>
    <row r="212" spans="1:6">
      <c r="A212" s="2">
        <v>45710</v>
      </c>
      <c r="B212" s="1" t="s">
        <v>10</v>
      </c>
      <c r="C212" s="1" t="s">
        <v>219</v>
      </c>
      <c r="D212" s="1">
        <v>26</v>
      </c>
      <c r="E212" s="1">
        <v>23</v>
      </c>
      <c r="F212" s="1">
        <v>3</v>
      </c>
    </row>
    <row r="213" spans="1:6">
      <c r="A213" s="2">
        <v>45710</v>
      </c>
      <c r="B213" s="1" t="s">
        <v>12</v>
      </c>
      <c r="C213" s="1" t="s">
        <v>220</v>
      </c>
      <c r="D213" s="1">
        <v>28</v>
      </c>
      <c r="E213" s="1">
        <v>19</v>
      </c>
      <c r="F213" s="1">
        <v>9</v>
      </c>
    </row>
    <row r="214" spans="1:6">
      <c r="A214" s="2">
        <v>45711</v>
      </c>
      <c r="B214" s="1" t="s">
        <v>6</v>
      </c>
      <c r="C214" s="1" t="s">
        <v>221</v>
      </c>
      <c r="D214" s="1">
        <v>51</v>
      </c>
      <c r="E214" s="1">
        <v>41</v>
      </c>
      <c r="F214" s="1">
        <v>10</v>
      </c>
    </row>
    <row r="215" spans="1:6">
      <c r="A215" s="2">
        <v>45711</v>
      </c>
      <c r="B215" s="1" t="s">
        <v>8</v>
      </c>
      <c r="C215" s="1" t="s">
        <v>222</v>
      </c>
      <c r="D215" s="1">
        <v>99</v>
      </c>
      <c r="E215" s="1">
        <v>73</v>
      </c>
      <c r="F215" s="1">
        <v>26</v>
      </c>
    </row>
    <row r="216" spans="1:6">
      <c r="A216" s="2">
        <v>45711</v>
      </c>
      <c r="B216" s="1" t="s">
        <v>10</v>
      </c>
      <c r="C216" s="1" t="s">
        <v>223</v>
      </c>
      <c r="D216" s="1">
        <v>36</v>
      </c>
      <c r="E216" s="1">
        <v>32</v>
      </c>
      <c r="F216" s="1">
        <v>4</v>
      </c>
    </row>
    <row r="217" spans="1:6">
      <c r="A217" s="2">
        <v>45711</v>
      </c>
      <c r="B217" s="1" t="s">
        <v>12</v>
      </c>
      <c r="C217" s="1" t="s">
        <v>224</v>
      </c>
      <c r="D217" s="1">
        <v>92</v>
      </c>
      <c r="E217" s="1">
        <v>70</v>
      </c>
      <c r="F217" s="1">
        <v>22</v>
      </c>
    </row>
    <row r="218" spans="1:6">
      <c r="A218" s="2">
        <v>45712</v>
      </c>
      <c r="B218" s="1" t="s">
        <v>6</v>
      </c>
      <c r="C218" s="1" t="s">
        <v>225</v>
      </c>
      <c r="D218" s="1">
        <v>52</v>
      </c>
      <c r="E218" s="1">
        <v>47</v>
      </c>
      <c r="F218" s="1">
        <v>5</v>
      </c>
    </row>
    <row r="219" spans="1:6">
      <c r="A219" s="2">
        <v>45712</v>
      </c>
      <c r="B219" s="1" t="s">
        <v>8</v>
      </c>
      <c r="C219" s="1" t="s">
        <v>226</v>
      </c>
      <c r="D219" s="1">
        <v>97</v>
      </c>
      <c r="E219" s="1">
        <v>86</v>
      </c>
      <c r="F219" s="1">
        <v>11</v>
      </c>
    </row>
    <row r="220" spans="1:6">
      <c r="A220" s="2">
        <v>45712</v>
      </c>
      <c r="B220" s="1" t="s">
        <v>10</v>
      </c>
      <c r="C220" s="1" t="s">
        <v>227</v>
      </c>
      <c r="D220" s="1">
        <v>40</v>
      </c>
      <c r="E220" s="1">
        <v>32</v>
      </c>
      <c r="F220" s="1">
        <v>8</v>
      </c>
    </row>
    <row r="221" spans="1:6">
      <c r="A221" s="2">
        <v>45712</v>
      </c>
      <c r="B221" s="1" t="s">
        <v>12</v>
      </c>
      <c r="C221" s="1" t="s">
        <v>144</v>
      </c>
      <c r="D221" s="1">
        <v>94</v>
      </c>
      <c r="E221" s="1">
        <v>65</v>
      </c>
      <c r="F221" s="1">
        <v>29</v>
      </c>
    </row>
    <row r="222" spans="1:6">
      <c r="A222" s="2">
        <v>45713</v>
      </c>
      <c r="B222" s="1" t="s">
        <v>6</v>
      </c>
      <c r="C222" s="1" t="s">
        <v>228</v>
      </c>
      <c r="D222" s="1">
        <v>93</v>
      </c>
      <c r="E222" s="1">
        <v>86</v>
      </c>
      <c r="F222" s="1">
        <v>7</v>
      </c>
    </row>
    <row r="223" spans="1:6">
      <c r="A223" s="2">
        <v>45713</v>
      </c>
      <c r="B223" s="1" t="s">
        <v>8</v>
      </c>
      <c r="C223" s="1" t="s">
        <v>229</v>
      </c>
      <c r="D223" s="1">
        <v>70</v>
      </c>
      <c r="E223" s="1">
        <v>55</v>
      </c>
      <c r="F223" s="1">
        <v>15</v>
      </c>
    </row>
    <row r="224" spans="1:6">
      <c r="A224" s="2">
        <v>45713</v>
      </c>
      <c r="B224" s="1" t="s">
        <v>10</v>
      </c>
      <c r="C224" s="1" t="s">
        <v>230</v>
      </c>
      <c r="D224" s="1">
        <v>95</v>
      </c>
      <c r="E224" s="1">
        <v>88</v>
      </c>
      <c r="F224" s="1">
        <v>7</v>
      </c>
    </row>
    <row r="225" spans="1:6">
      <c r="A225" s="2">
        <v>45713</v>
      </c>
      <c r="B225" s="1" t="s">
        <v>12</v>
      </c>
      <c r="C225" s="1" t="s">
        <v>231</v>
      </c>
      <c r="D225" s="1">
        <v>33</v>
      </c>
      <c r="E225" s="1">
        <v>27</v>
      </c>
      <c r="F225" s="1">
        <v>6</v>
      </c>
    </row>
    <row r="226" spans="1:6">
      <c r="A226" s="2">
        <v>45714</v>
      </c>
      <c r="B226" s="1" t="s">
        <v>6</v>
      </c>
      <c r="C226" s="1" t="s">
        <v>232</v>
      </c>
      <c r="D226" s="1">
        <v>92</v>
      </c>
      <c r="E226" s="1">
        <v>89</v>
      </c>
      <c r="F226" s="1">
        <v>3</v>
      </c>
    </row>
    <row r="227" spans="1:6">
      <c r="A227" s="2">
        <v>45714</v>
      </c>
      <c r="B227" s="1" t="s">
        <v>8</v>
      </c>
      <c r="C227" s="1" t="s">
        <v>233</v>
      </c>
      <c r="D227" s="1">
        <v>64</v>
      </c>
      <c r="E227" s="1">
        <v>61</v>
      </c>
      <c r="F227" s="1">
        <v>3</v>
      </c>
    </row>
    <row r="228" spans="1:6">
      <c r="A228" s="2">
        <v>45714</v>
      </c>
      <c r="B228" s="1" t="s">
        <v>10</v>
      </c>
      <c r="C228" s="1" t="s">
        <v>234</v>
      </c>
      <c r="D228" s="1">
        <v>67</v>
      </c>
      <c r="E228" s="1">
        <v>48</v>
      </c>
      <c r="F228" s="1">
        <v>19</v>
      </c>
    </row>
    <row r="229" spans="1:6">
      <c r="A229" s="2">
        <v>45714</v>
      </c>
      <c r="B229" s="1" t="s">
        <v>12</v>
      </c>
      <c r="C229" s="1" t="s">
        <v>235</v>
      </c>
      <c r="D229" s="1">
        <v>63</v>
      </c>
      <c r="E229" s="1">
        <v>44</v>
      </c>
      <c r="F229" s="1">
        <v>19</v>
      </c>
    </row>
    <row r="230" spans="1:6">
      <c r="A230" s="2">
        <v>45715</v>
      </c>
      <c r="B230" s="1" t="s">
        <v>6</v>
      </c>
      <c r="C230" s="1" t="s">
        <v>236</v>
      </c>
      <c r="D230" s="1">
        <v>82</v>
      </c>
      <c r="E230" s="1">
        <v>60</v>
      </c>
      <c r="F230" s="1">
        <v>22</v>
      </c>
    </row>
    <row r="231" spans="1:6">
      <c r="A231" s="2">
        <v>45715</v>
      </c>
      <c r="B231" s="1" t="s">
        <v>8</v>
      </c>
      <c r="C231" s="1" t="s">
        <v>237</v>
      </c>
      <c r="D231" s="1">
        <v>66</v>
      </c>
      <c r="E231" s="1">
        <v>66</v>
      </c>
      <c r="F231" s="1">
        <v>0</v>
      </c>
    </row>
    <row r="232" spans="1:6">
      <c r="A232" s="2">
        <v>45715</v>
      </c>
      <c r="B232" s="1" t="s">
        <v>10</v>
      </c>
      <c r="C232" s="1" t="s">
        <v>238</v>
      </c>
      <c r="D232" s="1">
        <v>39</v>
      </c>
      <c r="E232" s="1">
        <v>33</v>
      </c>
      <c r="F232" s="1">
        <v>6</v>
      </c>
    </row>
    <row r="233" spans="1:6">
      <c r="A233" s="2">
        <v>45715</v>
      </c>
      <c r="B233" s="1" t="s">
        <v>12</v>
      </c>
      <c r="C233" s="1" t="s">
        <v>239</v>
      </c>
      <c r="D233" s="1">
        <v>86</v>
      </c>
      <c r="E233" s="1">
        <v>80</v>
      </c>
      <c r="F233" s="1">
        <v>6</v>
      </c>
    </row>
    <row r="234" spans="1:6">
      <c r="A234" s="2">
        <v>45716</v>
      </c>
      <c r="B234" s="1" t="s">
        <v>6</v>
      </c>
      <c r="C234" s="1" t="s">
        <v>240</v>
      </c>
      <c r="D234" s="1">
        <v>98</v>
      </c>
      <c r="E234" s="1">
        <v>93</v>
      </c>
      <c r="F234" s="1">
        <v>5</v>
      </c>
    </row>
    <row r="235" spans="1:6">
      <c r="A235" s="2">
        <v>45716</v>
      </c>
      <c r="B235" s="1" t="s">
        <v>8</v>
      </c>
      <c r="C235" s="1" t="s">
        <v>241</v>
      </c>
      <c r="D235" s="1">
        <v>81</v>
      </c>
      <c r="E235" s="1">
        <v>70</v>
      </c>
      <c r="F235" s="1">
        <v>11</v>
      </c>
    </row>
    <row r="236" spans="1:6">
      <c r="A236" s="2">
        <v>45716</v>
      </c>
      <c r="B236" s="1" t="s">
        <v>10</v>
      </c>
      <c r="C236" s="1" t="s">
        <v>242</v>
      </c>
      <c r="D236" s="1">
        <v>95</v>
      </c>
      <c r="E236" s="1">
        <v>74</v>
      </c>
      <c r="F236" s="1">
        <v>21</v>
      </c>
    </row>
    <row r="237" spans="1:6">
      <c r="A237" s="2">
        <v>45716</v>
      </c>
      <c r="B237" s="1" t="s">
        <v>12</v>
      </c>
      <c r="C237" s="1" t="s">
        <v>243</v>
      </c>
      <c r="D237" s="1">
        <v>51</v>
      </c>
      <c r="E237" s="1">
        <v>37</v>
      </c>
      <c r="F237" s="1">
        <v>14</v>
      </c>
    </row>
    <row r="238" spans="1:6">
      <c r="A238" s="2">
        <v>45717</v>
      </c>
      <c r="B238" s="1" t="s">
        <v>6</v>
      </c>
      <c r="C238" s="1" t="s">
        <v>244</v>
      </c>
      <c r="D238" s="1">
        <v>77</v>
      </c>
      <c r="E238" s="1">
        <v>60</v>
      </c>
      <c r="F238" s="1">
        <v>17</v>
      </c>
    </row>
    <row r="239" spans="1:6">
      <c r="A239" s="2">
        <v>45717</v>
      </c>
      <c r="B239" s="1" t="s">
        <v>8</v>
      </c>
      <c r="C239" s="1" t="s">
        <v>245</v>
      </c>
      <c r="D239" s="1">
        <v>92</v>
      </c>
      <c r="E239" s="1">
        <v>83</v>
      </c>
      <c r="F239" s="1">
        <v>9</v>
      </c>
    </row>
    <row r="240" spans="1:6">
      <c r="A240" s="2">
        <v>45717</v>
      </c>
      <c r="B240" s="1" t="s">
        <v>10</v>
      </c>
      <c r="C240" s="1" t="s">
        <v>246</v>
      </c>
      <c r="D240" s="1">
        <v>63</v>
      </c>
      <c r="E240" s="1">
        <v>44</v>
      </c>
      <c r="F240" s="1">
        <v>19</v>
      </c>
    </row>
    <row r="241" spans="1:6">
      <c r="A241" s="2">
        <v>45717</v>
      </c>
      <c r="B241" s="1" t="s">
        <v>12</v>
      </c>
      <c r="C241" s="1" t="s">
        <v>247</v>
      </c>
      <c r="D241" s="1">
        <v>61</v>
      </c>
      <c r="E241" s="1">
        <v>47</v>
      </c>
      <c r="F241" s="1">
        <v>14</v>
      </c>
    </row>
    <row r="242" spans="1:6">
      <c r="A242" s="2">
        <v>45718</v>
      </c>
      <c r="B242" s="1" t="s">
        <v>6</v>
      </c>
      <c r="C242" s="1" t="s">
        <v>248</v>
      </c>
      <c r="D242" s="1">
        <v>47</v>
      </c>
      <c r="E242" s="1">
        <v>43</v>
      </c>
      <c r="F242" s="1">
        <v>4</v>
      </c>
    </row>
    <row r="243" spans="1:6">
      <c r="A243" s="2">
        <v>45718</v>
      </c>
      <c r="B243" s="1" t="s">
        <v>8</v>
      </c>
      <c r="C243" s="1" t="s">
        <v>249</v>
      </c>
      <c r="D243" s="1">
        <v>63</v>
      </c>
      <c r="E243" s="1">
        <v>52</v>
      </c>
      <c r="F243" s="1">
        <v>11</v>
      </c>
    </row>
    <row r="244" spans="1:6">
      <c r="A244" s="2">
        <v>45718</v>
      </c>
      <c r="B244" s="1" t="s">
        <v>10</v>
      </c>
      <c r="C244" s="1" t="s">
        <v>250</v>
      </c>
      <c r="D244" s="1">
        <v>91</v>
      </c>
      <c r="E244" s="1">
        <v>63</v>
      </c>
      <c r="F244" s="1">
        <v>28</v>
      </c>
    </row>
    <row r="245" spans="1:6">
      <c r="A245" s="2">
        <v>45718</v>
      </c>
      <c r="B245" s="1" t="s">
        <v>12</v>
      </c>
      <c r="C245" s="1" t="s">
        <v>251</v>
      </c>
      <c r="D245" s="1">
        <v>44</v>
      </c>
      <c r="E245" s="1">
        <v>31</v>
      </c>
      <c r="F245" s="1">
        <v>13</v>
      </c>
    </row>
    <row r="246" spans="1:6">
      <c r="A246" s="2">
        <v>45719</v>
      </c>
      <c r="B246" s="1" t="s">
        <v>6</v>
      </c>
      <c r="C246" s="1" t="s">
        <v>252</v>
      </c>
      <c r="D246" s="1">
        <v>72</v>
      </c>
      <c r="E246" s="1">
        <v>65</v>
      </c>
      <c r="F246" s="1">
        <v>7</v>
      </c>
    </row>
    <row r="247" spans="1:6">
      <c r="A247" s="2">
        <v>45719</v>
      </c>
      <c r="B247" s="1" t="s">
        <v>8</v>
      </c>
      <c r="C247" s="1" t="s">
        <v>253</v>
      </c>
      <c r="D247" s="1">
        <v>80</v>
      </c>
      <c r="E247" s="1">
        <v>76</v>
      </c>
      <c r="F247" s="1">
        <v>4</v>
      </c>
    </row>
    <row r="248" spans="1:6">
      <c r="A248" s="2">
        <v>45719</v>
      </c>
      <c r="B248" s="1" t="s">
        <v>10</v>
      </c>
      <c r="C248" s="1" t="s">
        <v>254</v>
      </c>
      <c r="D248" s="1">
        <v>77</v>
      </c>
      <c r="E248" s="1">
        <v>53</v>
      </c>
      <c r="F248" s="1">
        <v>24</v>
      </c>
    </row>
    <row r="249" spans="1:6">
      <c r="A249" s="2">
        <v>45719</v>
      </c>
      <c r="B249" s="1" t="s">
        <v>12</v>
      </c>
      <c r="C249" s="1" t="s">
        <v>255</v>
      </c>
      <c r="D249" s="1">
        <v>57</v>
      </c>
      <c r="E249" s="1">
        <v>46</v>
      </c>
      <c r="F249" s="1">
        <v>11</v>
      </c>
    </row>
    <row r="250" spans="1:6">
      <c r="A250" s="2">
        <v>45720</v>
      </c>
      <c r="B250" s="1" t="s">
        <v>6</v>
      </c>
      <c r="C250" s="1" t="s">
        <v>256</v>
      </c>
      <c r="D250" s="1">
        <v>51</v>
      </c>
      <c r="E250" s="1">
        <v>44</v>
      </c>
      <c r="F250" s="1">
        <v>7</v>
      </c>
    </row>
    <row r="251" spans="1:6">
      <c r="A251" s="2">
        <v>45720</v>
      </c>
      <c r="B251" s="1" t="s">
        <v>8</v>
      </c>
      <c r="C251" s="1" t="s">
        <v>257</v>
      </c>
      <c r="D251" s="1">
        <v>80</v>
      </c>
      <c r="E251" s="1">
        <v>73</v>
      </c>
      <c r="F251" s="1">
        <v>7</v>
      </c>
    </row>
    <row r="252" spans="1:6">
      <c r="A252" s="2">
        <v>45720</v>
      </c>
      <c r="B252" s="1" t="s">
        <v>10</v>
      </c>
      <c r="C252" s="1" t="s">
        <v>258</v>
      </c>
      <c r="D252" s="1">
        <v>64</v>
      </c>
      <c r="E252" s="1">
        <v>57</v>
      </c>
      <c r="F252" s="1">
        <v>7</v>
      </c>
    </row>
    <row r="253" spans="1:6">
      <c r="A253" s="2">
        <v>45720</v>
      </c>
      <c r="B253" s="1" t="s">
        <v>12</v>
      </c>
      <c r="C253" s="1" t="s">
        <v>259</v>
      </c>
      <c r="D253" s="1">
        <v>65</v>
      </c>
      <c r="E253" s="1">
        <v>59</v>
      </c>
      <c r="F253" s="1">
        <v>6</v>
      </c>
    </row>
    <row r="254" spans="1:6">
      <c r="A254" s="2">
        <v>45721</v>
      </c>
      <c r="B254" s="1" t="s">
        <v>6</v>
      </c>
      <c r="C254" s="1" t="s">
        <v>260</v>
      </c>
      <c r="D254" s="1">
        <v>59</v>
      </c>
      <c r="E254" s="1">
        <v>49</v>
      </c>
      <c r="F254" s="1">
        <v>10</v>
      </c>
    </row>
    <row r="255" spans="1:6">
      <c r="A255" s="2">
        <v>45721</v>
      </c>
      <c r="B255" s="1" t="s">
        <v>8</v>
      </c>
      <c r="C255" s="1" t="s">
        <v>261</v>
      </c>
      <c r="D255" s="1">
        <v>35</v>
      </c>
      <c r="E255" s="1">
        <v>35</v>
      </c>
      <c r="F255" s="1">
        <v>0</v>
      </c>
    </row>
    <row r="256" spans="1:6">
      <c r="A256" s="2">
        <v>45721</v>
      </c>
      <c r="B256" s="1" t="s">
        <v>10</v>
      </c>
      <c r="C256" s="1" t="s">
        <v>262</v>
      </c>
      <c r="D256" s="1">
        <v>60</v>
      </c>
      <c r="E256" s="1">
        <v>45</v>
      </c>
      <c r="F256" s="1">
        <v>15</v>
      </c>
    </row>
    <row r="257" spans="1:6">
      <c r="A257" s="2">
        <v>45721</v>
      </c>
      <c r="B257" s="1" t="s">
        <v>12</v>
      </c>
      <c r="C257" s="1" t="s">
        <v>263</v>
      </c>
      <c r="D257" s="1">
        <v>43</v>
      </c>
      <c r="E257" s="1">
        <v>33</v>
      </c>
      <c r="F257" s="1">
        <v>10</v>
      </c>
    </row>
    <row r="258" spans="1:6">
      <c r="A258" s="2">
        <v>45722</v>
      </c>
      <c r="B258" s="1" t="s">
        <v>6</v>
      </c>
      <c r="C258" s="1" t="s">
        <v>264</v>
      </c>
      <c r="D258" s="1">
        <v>81</v>
      </c>
      <c r="E258" s="1">
        <v>64</v>
      </c>
      <c r="F258" s="1">
        <v>17</v>
      </c>
    </row>
    <row r="259" spans="1:6">
      <c r="A259" s="2">
        <v>45722</v>
      </c>
      <c r="B259" s="1" t="s">
        <v>8</v>
      </c>
      <c r="C259" s="1" t="s">
        <v>265</v>
      </c>
      <c r="D259" s="1">
        <v>96</v>
      </c>
      <c r="E259" s="1">
        <v>76</v>
      </c>
      <c r="F259" s="1">
        <v>20</v>
      </c>
    </row>
    <row r="260" spans="1:6">
      <c r="A260" s="2">
        <v>45722</v>
      </c>
      <c r="B260" s="1" t="s">
        <v>10</v>
      </c>
      <c r="C260" s="1" t="s">
        <v>266</v>
      </c>
      <c r="D260" s="1">
        <v>44</v>
      </c>
      <c r="E260" s="1">
        <v>34</v>
      </c>
      <c r="F260" s="1">
        <v>10</v>
      </c>
    </row>
    <row r="261" spans="1:6">
      <c r="A261" s="2">
        <v>45722</v>
      </c>
      <c r="B261" s="1" t="s">
        <v>12</v>
      </c>
      <c r="C261" s="1" t="s">
        <v>267</v>
      </c>
      <c r="D261" s="1">
        <v>66</v>
      </c>
      <c r="E261" s="1">
        <v>51</v>
      </c>
      <c r="F261" s="1">
        <v>15</v>
      </c>
    </row>
    <row r="262" spans="1:6">
      <c r="A262" s="2">
        <v>45723</v>
      </c>
      <c r="B262" s="1" t="s">
        <v>6</v>
      </c>
      <c r="C262" s="1" t="s">
        <v>268</v>
      </c>
      <c r="D262" s="1">
        <v>21</v>
      </c>
      <c r="E262" s="1">
        <v>16</v>
      </c>
      <c r="F262" s="1">
        <v>5</v>
      </c>
    </row>
    <row r="263" spans="1:6">
      <c r="A263" s="2">
        <v>45723</v>
      </c>
      <c r="B263" s="1" t="s">
        <v>8</v>
      </c>
      <c r="C263" s="1" t="s">
        <v>269</v>
      </c>
      <c r="D263" s="1">
        <v>25</v>
      </c>
      <c r="E263" s="1">
        <v>17</v>
      </c>
      <c r="F263" s="1">
        <v>8</v>
      </c>
    </row>
    <row r="264" spans="1:6">
      <c r="A264" s="2">
        <v>45723</v>
      </c>
      <c r="B264" s="1" t="s">
        <v>10</v>
      </c>
      <c r="C264" s="1" t="s">
        <v>270</v>
      </c>
      <c r="D264" s="1">
        <v>36</v>
      </c>
      <c r="E264" s="1">
        <v>35</v>
      </c>
      <c r="F264" s="1">
        <v>1</v>
      </c>
    </row>
    <row r="265" spans="1:6">
      <c r="A265" s="2">
        <v>45723</v>
      </c>
      <c r="B265" s="1" t="s">
        <v>12</v>
      </c>
      <c r="C265" s="1" t="s">
        <v>271</v>
      </c>
      <c r="D265" s="1">
        <v>33</v>
      </c>
      <c r="E265" s="1">
        <v>23</v>
      </c>
      <c r="F265" s="1">
        <v>10</v>
      </c>
    </row>
    <row r="266" spans="1:6">
      <c r="A266" s="2">
        <v>45724</v>
      </c>
      <c r="B266" s="1" t="s">
        <v>6</v>
      </c>
      <c r="C266" s="1" t="s">
        <v>272</v>
      </c>
      <c r="D266" s="1">
        <v>80</v>
      </c>
      <c r="E266" s="1">
        <v>71</v>
      </c>
      <c r="F266" s="1">
        <v>9</v>
      </c>
    </row>
    <row r="267" spans="1:6">
      <c r="A267" s="2">
        <v>45724</v>
      </c>
      <c r="B267" s="1" t="s">
        <v>8</v>
      </c>
      <c r="C267" s="1" t="s">
        <v>273</v>
      </c>
      <c r="D267" s="1">
        <v>63</v>
      </c>
      <c r="E267" s="1">
        <v>49</v>
      </c>
      <c r="F267" s="1">
        <v>14</v>
      </c>
    </row>
    <row r="268" spans="1:6">
      <c r="A268" s="2">
        <v>45724</v>
      </c>
      <c r="B268" s="1" t="s">
        <v>10</v>
      </c>
      <c r="C268" s="1" t="s">
        <v>274</v>
      </c>
      <c r="D268" s="1">
        <v>52</v>
      </c>
      <c r="E268" s="1">
        <v>51</v>
      </c>
      <c r="F268" s="1">
        <v>1</v>
      </c>
    </row>
    <row r="269" spans="1:6">
      <c r="A269" s="2">
        <v>45724</v>
      </c>
      <c r="B269" s="1" t="s">
        <v>12</v>
      </c>
      <c r="C269" s="1" t="s">
        <v>275</v>
      </c>
      <c r="D269" s="1">
        <v>28</v>
      </c>
      <c r="E269" s="1">
        <v>25</v>
      </c>
      <c r="F269" s="1">
        <v>3</v>
      </c>
    </row>
    <row r="270" spans="1:6">
      <c r="A270" s="2">
        <v>45725</v>
      </c>
      <c r="B270" s="1" t="s">
        <v>6</v>
      </c>
      <c r="C270" s="1" t="s">
        <v>276</v>
      </c>
      <c r="D270" s="1">
        <v>29</v>
      </c>
      <c r="E270" s="1">
        <v>29</v>
      </c>
      <c r="F270" s="1">
        <v>0</v>
      </c>
    </row>
    <row r="271" spans="1:6">
      <c r="A271" s="2">
        <v>45725</v>
      </c>
      <c r="B271" s="1" t="s">
        <v>8</v>
      </c>
      <c r="C271" s="1" t="s">
        <v>277</v>
      </c>
      <c r="D271" s="1">
        <v>39</v>
      </c>
      <c r="E271" s="1">
        <v>29</v>
      </c>
      <c r="F271" s="1">
        <v>10</v>
      </c>
    </row>
    <row r="272" spans="1:6">
      <c r="A272" s="2">
        <v>45725</v>
      </c>
      <c r="B272" s="1" t="s">
        <v>10</v>
      </c>
      <c r="C272" s="1" t="s">
        <v>278</v>
      </c>
      <c r="D272" s="1">
        <v>30</v>
      </c>
      <c r="E272" s="1">
        <v>24</v>
      </c>
      <c r="F272" s="1">
        <v>6</v>
      </c>
    </row>
    <row r="273" spans="1:6">
      <c r="A273" s="2">
        <v>45725</v>
      </c>
      <c r="B273" s="1" t="s">
        <v>12</v>
      </c>
      <c r="C273" s="1" t="s">
        <v>279</v>
      </c>
      <c r="D273" s="1">
        <v>91</v>
      </c>
      <c r="E273" s="1">
        <v>87</v>
      </c>
      <c r="F273" s="1">
        <v>4</v>
      </c>
    </row>
    <row r="274" spans="1:6">
      <c r="A274" s="2">
        <v>45726</v>
      </c>
      <c r="B274" s="1" t="s">
        <v>6</v>
      </c>
      <c r="C274" s="1" t="s">
        <v>280</v>
      </c>
      <c r="D274" s="1">
        <v>97</v>
      </c>
      <c r="E274" s="1">
        <v>86</v>
      </c>
      <c r="F274" s="1">
        <v>11</v>
      </c>
    </row>
    <row r="275" spans="1:6">
      <c r="A275" s="2">
        <v>45726</v>
      </c>
      <c r="B275" s="1" t="s">
        <v>8</v>
      </c>
      <c r="C275" s="1" t="s">
        <v>281</v>
      </c>
      <c r="D275" s="1">
        <v>86</v>
      </c>
      <c r="E275" s="1">
        <v>72</v>
      </c>
      <c r="F275" s="1">
        <v>14</v>
      </c>
    </row>
    <row r="276" spans="1:6">
      <c r="A276" s="2">
        <v>45726</v>
      </c>
      <c r="B276" s="1" t="s">
        <v>10</v>
      </c>
      <c r="C276" s="1" t="s">
        <v>282</v>
      </c>
      <c r="D276" s="1">
        <v>76</v>
      </c>
      <c r="E276" s="1">
        <v>62</v>
      </c>
      <c r="F276" s="1">
        <v>14</v>
      </c>
    </row>
    <row r="277" spans="1:6">
      <c r="A277" s="2">
        <v>45726</v>
      </c>
      <c r="B277" s="1" t="s">
        <v>12</v>
      </c>
      <c r="C277" s="1" t="s">
        <v>283</v>
      </c>
      <c r="D277" s="1">
        <v>59</v>
      </c>
      <c r="E277" s="1">
        <v>59</v>
      </c>
      <c r="F277" s="1">
        <v>0</v>
      </c>
    </row>
    <row r="278" spans="1:6">
      <c r="A278" s="2">
        <v>45727</v>
      </c>
      <c r="B278" s="1" t="s">
        <v>6</v>
      </c>
      <c r="C278" s="1" t="s">
        <v>284</v>
      </c>
      <c r="D278" s="1">
        <v>98</v>
      </c>
      <c r="E278" s="1">
        <v>98</v>
      </c>
      <c r="F278" s="1">
        <v>0</v>
      </c>
    </row>
    <row r="279" spans="1:6">
      <c r="A279" s="2">
        <v>45727</v>
      </c>
      <c r="B279" s="1" t="s">
        <v>8</v>
      </c>
      <c r="C279" s="1" t="s">
        <v>285</v>
      </c>
      <c r="D279" s="1">
        <v>46</v>
      </c>
      <c r="E279" s="1">
        <v>42</v>
      </c>
      <c r="F279" s="1">
        <v>4</v>
      </c>
    </row>
    <row r="280" spans="1:6">
      <c r="A280" s="2">
        <v>45727</v>
      </c>
      <c r="B280" s="1" t="s">
        <v>10</v>
      </c>
      <c r="C280" s="1" t="s">
        <v>286</v>
      </c>
      <c r="D280" s="1">
        <v>53</v>
      </c>
      <c r="E280" s="1">
        <v>39</v>
      </c>
      <c r="F280" s="1">
        <v>14</v>
      </c>
    </row>
    <row r="281" spans="1:6">
      <c r="A281" s="2">
        <v>45727</v>
      </c>
      <c r="B281" s="1" t="s">
        <v>12</v>
      </c>
      <c r="C281" s="1" t="s">
        <v>287</v>
      </c>
      <c r="D281" s="1">
        <v>50</v>
      </c>
      <c r="E281" s="1">
        <v>40</v>
      </c>
      <c r="F281" s="1">
        <v>10</v>
      </c>
    </row>
    <row r="282" spans="1:6">
      <c r="A282" s="2">
        <v>45728</v>
      </c>
      <c r="B282" s="1" t="s">
        <v>6</v>
      </c>
      <c r="C282" s="1" t="s">
        <v>288</v>
      </c>
      <c r="D282" s="1">
        <v>40</v>
      </c>
      <c r="E282" s="1">
        <v>28</v>
      </c>
      <c r="F282" s="1">
        <v>12</v>
      </c>
    </row>
    <row r="283" spans="1:6">
      <c r="A283" s="2">
        <v>45728</v>
      </c>
      <c r="B283" s="1" t="s">
        <v>8</v>
      </c>
      <c r="C283" s="1" t="s">
        <v>289</v>
      </c>
      <c r="D283" s="1">
        <v>77</v>
      </c>
      <c r="E283" s="1">
        <v>75</v>
      </c>
      <c r="F283" s="1">
        <v>2</v>
      </c>
    </row>
    <row r="284" spans="1:6">
      <c r="A284" s="2">
        <v>45728</v>
      </c>
      <c r="B284" s="1" t="s">
        <v>10</v>
      </c>
      <c r="C284" s="1" t="s">
        <v>290</v>
      </c>
      <c r="D284" s="1">
        <v>57</v>
      </c>
      <c r="E284" s="1">
        <v>40</v>
      </c>
      <c r="F284" s="1">
        <v>17</v>
      </c>
    </row>
    <row r="285" spans="1:6">
      <c r="A285" s="2">
        <v>45728</v>
      </c>
      <c r="B285" s="1" t="s">
        <v>12</v>
      </c>
      <c r="C285" s="1" t="s">
        <v>291</v>
      </c>
      <c r="D285" s="1">
        <v>56</v>
      </c>
      <c r="E285" s="1">
        <v>48</v>
      </c>
      <c r="F285" s="1">
        <v>8</v>
      </c>
    </row>
    <row r="286" spans="1:6">
      <c r="A286" s="2">
        <v>45729</v>
      </c>
      <c r="B286" s="1" t="s">
        <v>6</v>
      </c>
      <c r="C286" s="1" t="s">
        <v>292</v>
      </c>
      <c r="D286" s="1">
        <v>29</v>
      </c>
      <c r="E286" s="1">
        <v>23</v>
      </c>
      <c r="F286" s="1">
        <v>6</v>
      </c>
    </row>
    <row r="287" spans="1:6">
      <c r="A287" s="2">
        <v>45729</v>
      </c>
      <c r="B287" s="1" t="s">
        <v>8</v>
      </c>
      <c r="C287" s="1" t="s">
        <v>293</v>
      </c>
      <c r="D287" s="1">
        <v>100</v>
      </c>
      <c r="E287" s="1">
        <v>88</v>
      </c>
      <c r="F287" s="1">
        <v>12</v>
      </c>
    </row>
    <row r="288" spans="1:6">
      <c r="A288" s="2">
        <v>45729</v>
      </c>
      <c r="B288" s="1" t="s">
        <v>10</v>
      </c>
      <c r="C288" s="1" t="s">
        <v>294</v>
      </c>
      <c r="D288" s="1">
        <v>74</v>
      </c>
      <c r="E288" s="1">
        <v>54</v>
      </c>
      <c r="F288" s="1">
        <v>20</v>
      </c>
    </row>
    <row r="289" spans="1:6">
      <c r="A289" s="2">
        <v>45729</v>
      </c>
      <c r="B289" s="1" t="s">
        <v>12</v>
      </c>
      <c r="C289" s="1" t="s">
        <v>295</v>
      </c>
      <c r="D289" s="1">
        <v>48</v>
      </c>
      <c r="E289" s="1">
        <v>37</v>
      </c>
      <c r="F289" s="1">
        <v>11</v>
      </c>
    </row>
    <row r="290" spans="1:6">
      <c r="A290" s="2">
        <v>45730</v>
      </c>
      <c r="B290" s="1" t="s">
        <v>6</v>
      </c>
      <c r="C290" s="1" t="s">
        <v>296</v>
      </c>
      <c r="D290" s="1">
        <v>38</v>
      </c>
      <c r="E290" s="1">
        <v>27</v>
      </c>
      <c r="F290" s="1">
        <v>11</v>
      </c>
    </row>
    <row r="291" spans="1:6">
      <c r="A291" s="2">
        <v>45730</v>
      </c>
      <c r="B291" s="1" t="s">
        <v>8</v>
      </c>
      <c r="C291" s="1" t="s">
        <v>297</v>
      </c>
      <c r="D291" s="1">
        <v>41</v>
      </c>
      <c r="E291" s="1">
        <v>40</v>
      </c>
      <c r="F291" s="1">
        <v>1</v>
      </c>
    </row>
    <row r="292" spans="1:6">
      <c r="A292" s="2">
        <v>45730</v>
      </c>
      <c r="B292" s="1" t="s">
        <v>10</v>
      </c>
      <c r="C292" s="1" t="s">
        <v>298</v>
      </c>
      <c r="D292" s="1">
        <v>96</v>
      </c>
      <c r="E292" s="1">
        <v>90</v>
      </c>
      <c r="F292" s="1">
        <v>6</v>
      </c>
    </row>
    <row r="293" spans="1:6">
      <c r="A293" s="2">
        <v>45730</v>
      </c>
      <c r="B293" s="1" t="s">
        <v>12</v>
      </c>
      <c r="C293" s="1" t="s">
        <v>299</v>
      </c>
      <c r="D293" s="1">
        <v>76</v>
      </c>
      <c r="E293" s="1">
        <v>56</v>
      </c>
      <c r="F293" s="1">
        <v>20</v>
      </c>
    </row>
    <row r="294" spans="1:6">
      <c r="A294" s="2">
        <v>45731</v>
      </c>
      <c r="B294" s="1" t="s">
        <v>6</v>
      </c>
      <c r="C294" s="1" t="s">
        <v>300</v>
      </c>
      <c r="D294" s="1">
        <v>58</v>
      </c>
      <c r="E294" s="1">
        <v>52</v>
      </c>
      <c r="F294" s="1">
        <v>6</v>
      </c>
    </row>
    <row r="295" spans="1:6">
      <c r="A295" s="2">
        <v>45731</v>
      </c>
      <c r="B295" s="1" t="s">
        <v>8</v>
      </c>
      <c r="C295" s="1" t="s">
        <v>301</v>
      </c>
      <c r="D295" s="1">
        <v>84</v>
      </c>
      <c r="E295" s="1">
        <v>75</v>
      </c>
      <c r="F295" s="1">
        <v>9</v>
      </c>
    </row>
    <row r="296" spans="1:6">
      <c r="A296" s="2">
        <v>45731</v>
      </c>
      <c r="B296" s="1" t="s">
        <v>10</v>
      </c>
      <c r="C296" s="1" t="s">
        <v>302</v>
      </c>
      <c r="D296" s="1">
        <v>76</v>
      </c>
      <c r="E296" s="1">
        <v>55</v>
      </c>
      <c r="F296" s="1">
        <v>21</v>
      </c>
    </row>
    <row r="297" spans="1:6">
      <c r="A297" s="2">
        <v>45731</v>
      </c>
      <c r="B297" s="1" t="s">
        <v>12</v>
      </c>
      <c r="C297" s="1" t="s">
        <v>303</v>
      </c>
      <c r="D297" s="1">
        <v>75</v>
      </c>
      <c r="E297" s="1">
        <v>75</v>
      </c>
      <c r="F297" s="1">
        <v>0</v>
      </c>
    </row>
    <row r="298" spans="1:6">
      <c r="A298" s="2">
        <v>45732</v>
      </c>
      <c r="B298" s="1" t="s">
        <v>6</v>
      </c>
      <c r="C298" s="1" t="s">
        <v>304</v>
      </c>
      <c r="D298" s="1">
        <v>97</v>
      </c>
      <c r="E298" s="1">
        <v>75</v>
      </c>
      <c r="F298" s="1">
        <v>22</v>
      </c>
    </row>
    <row r="299" spans="1:6">
      <c r="A299" s="2">
        <v>45732</v>
      </c>
      <c r="B299" s="1" t="s">
        <v>8</v>
      </c>
      <c r="C299" s="1" t="s">
        <v>305</v>
      </c>
      <c r="D299" s="1">
        <v>31</v>
      </c>
      <c r="E299" s="1">
        <v>24</v>
      </c>
      <c r="F299" s="1">
        <v>7</v>
      </c>
    </row>
    <row r="300" spans="1:6">
      <c r="A300" s="2">
        <v>45732</v>
      </c>
      <c r="B300" s="1" t="s">
        <v>10</v>
      </c>
      <c r="C300" s="1" t="s">
        <v>306</v>
      </c>
      <c r="D300" s="1">
        <v>54</v>
      </c>
      <c r="E300" s="1">
        <v>38</v>
      </c>
      <c r="F300" s="1">
        <v>16</v>
      </c>
    </row>
    <row r="301" spans="1:6">
      <c r="A301" s="2">
        <v>45732</v>
      </c>
      <c r="B301" s="1" t="s">
        <v>12</v>
      </c>
      <c r="C301" s="1" t="s">
        <v>307</v>
      </c>
      <c r="D301" s="1">
        <v>80</v>
      </c>
      <c r="E301" s="1">
        <v>72</v>
      </c>
      <c r="F301" s="1">
        <v>8</v>
      </c>
    </row>
    <row r="302" spans="1:6">
      <c r="A302" s="2">
        <v>45733</v>
      </c>
      <c r="B302" s="1" t="s">
        <v>6</v>
      </c>
      <c r="C302" s="1" t="s">
        <v>308</v>
      </c>
      <c r="D302" s="1">
        <v>55</v>
      </c>
      <c r="E302" s="1">
        <v>43</v>
      </c>
      <c r="F302" s="1">
        <v>12</v>
      </c>
    </row>
    <row r="303" spans="1:6">
      <c r="A303" s="2">
        <v>45733</v>
      </c>
      <c r="B303" s="1" t="s">
        <v>8</v>
      </c>
      <c r="C303" s="1" t="s">
        <v>309</v>
      </c>
      <c r="D303" s="1">
        <v>82</v>
      </c>
      <c r="E303" s="1">
        <v>59</v>
      </c>
      <c r="F303" s="1">
        <v>23</v>
      </c>
    </row>
    <row r="304" spans="1:6">
      <c r="A304" s="2">
        <v>45733</v>
      </c>
      <c r="B304" s="1" t="s">
        <v>10</v>
      </c>
      <c r="C304" s="1" t="s">
        <v>310</v>
      </c>
      <c r="D304" s="1">
        <v>64</v>
      </c>
      <c r="E304" s="1">
        <v>57</v>
      </c>
      <c r="F304" s="1">
        <v>7</v>
      </c>
    </row>
    <row r="305" spans="1:6">
      <c r="A305" s="2">
        <v>45733</v>
      </c>
      <c r="B305" s="1" t="s">
        <v>12</v>
      </c>
      <c r="C305" s="1" t="s">
        <v>311</v>
      </c>
      <c r="D305" s="1">
        <v>61</v>
      </c>
      <c r="E305" s="1">
        <v>45</v>
      </c>
      <c r="F305" s="1">
        <v>16</v>
      </c>
    </row>
    <row r="306" spans="1:6">
      <c r="A306" s="2">
        <v>45734</v>
      </c>
      <c r="B306" s="1" t="s">
        <v>6</v>
      </c>
      <c r="C306" s="1" t="s">
        <v>312</v>
      </c>
      <c r="D306" s="1">
        <v>62</v>
      </c>
      <c r="E306" s="1">
        <v>56</v>
      </c>
      <c r="F306" s="1">
        <v>6</v>
      </c>
    </row>
    <row r="307" spans="1:6">
      <c r="A307" s="2">
        <v>45734</v>
      </c>
      <c r="B307" s="1" t="s">
        <v>8</v>
      </c>
      <c r="C307" s="1" t="s">
        <v>313</v>
      </c>
      <c r="D307" s="1">
        <v>56</v>
      </c>
      <c r="E307" s="1">
        <v>51</v>
      </c>
      <c r="F307" s="1">
        <v>5</v>
      </c>
    </row>
    <row r="308" spans="1:6">
      <c r="A308" s="2">
        <v>45734</v>
      </c>
      <c r="B308" s="1" t="s">
        <v>10</v>
      </c>
      <c r="C308" s="1" t="s">
        <v>314</v>
      </c>
      <c r="D308" s="1">
        <v>78</v>
      </c>
      <c r="E308" s="1">
        <v>56</v>
      </c>
      <c r="F308" s="1">
        <v>22</v>
      </c>
    </row>
    <row r="309" spans="1:6">
      <c r="A309" s="2">
        <v>45734</v>
      </c>
      <c r="B309" s="1" t="s">
        <v>12</v>
      </c>
      <c r="C309" s="1" t="s">
        <v>315</v>
      </c>
      <c r="D309" s="1">
        <v>52</v>
      </c>
      <c r="E309" s="1">
        <v>46</v>
      </c>
      <c r="F309" s="1">
        <v>6</v>
      </c>
    </row>
    <row r="310" spans="1:6">
      <c r="A310" s="2">
        <v>45735</v>
      </c>
      <c r="B310" s="1" t="s">
        <v>6</v>
      </c>
      <c r="C310" s="1" t="s">
        <v>316</v>
      </c>
      <c r="D310" s="1">
        <v>71</v>
      </c>
      <c r="E310" s="1">
        <v>65</v>
      </c>
      <c r="F310" s="1">
        <v>6</v>
      </c>
    </row>
    <row r="311" spans="1:6">
      <c r="A311" s="2">
        <v>45735</v>
      </c>
      <c r="B311" s="1" t="s">
        <v>8</v>
      </c>
      <c r="C311" s="1" t="s">
        <v>317</v>
      </c>
      <c r="D311" s="1">
        <v>89</v>
      </c>
      <c r="E311" s="1">
        <v>76</v>
      </c>
      <c r="F311" s="1">
        <v>13</v>
      </c>
    </row>
    <row r="312" spans="1:6">
      <c r="A312" s="2">
        <v>45735</v>
      </c>
      <c r="B312" s="1" t="s">
        <v>10</v>
      </c>
      <c r="C312" s="1" t="s">
        <v>318</v>
      </c>
      <c r="D312" s="1">
        <v>26</v>
      </c>
      <c r="E312" s="1">
        <v>21</v>
      </c>
      <c r="F312" s="1">
        <v>5</v>
      </c>
    </row>
    <row r="313" spans="1:6">
      <c r="A313" s="2">
        <v>45735</v>
      </c>
      <c r="B313" s="1" t="s">
        <v>12</v>
      </c>
      <c r="C313" s="1" t="s">
        <v>319</v>
      </c>
      <c r="D313" s="1">
        <v>66</v>
      </c>
      <c r="E313" s="1">
        <v>65</v>
      </c>
      <c r="F313" s="1">
        <v>1</v>
      </c>
    </row>
    <row r="314" spans="1:6">
      <c r="A314" s="2">
        <v>45736</v>
      </c>
      <c r="B314" s="1" t="s">
        <v>6</v>
      </c>
      <c r="C314" s="1" t="s">
        <v>320</v>
      </c>
      <c r="D314" s="1">
        <v>100</v>
      </c>
      <c r="E314" s="1">
        <v>84</v>
      </c>
      <c r="F314" s="1">
        <v>16</v>
      </c>
    </row>
    <row r="315" spans="1:6">
      <c r="A315" s="2">
        <v>45736</v>
      </c>
      <c r="B315" s="1" t="s">
        <v>8</v>
      </c>
      <c r="C315" s="1" t="s">
        <v>321</v>
      </c>
      <c r="D315" s="1">
        <v>46</v>
      </c>
      <c r="E315" s="1">
        <v>36</v>
      </c>
      <c r="F315" s="1">
        <v>10</v>
      </c>
    </row>
    <row r="316" spans="1:6">
      <c r="A316" s="2">
        <v>45736</v>
      </c>
      <c r="B316" s="1" t="s">
        <v>10</v>
      </c>
      <c r="C316" s="1" t="s">
        <v>322</v>
      </c>
      <c r="D316" s="1">
        <v>36</v>
      </c>
      <c r="E316" s="1">
        <v>29</v>
      </c>
      <c r="F316" s="1">
        <v>7</v>
      </c>
    </row>
    <row r="317" spans="1:6">
      <c r="A317" s="2">
        <v>45736</v>
      </c>
      <c r="B317" s="1" t="s">
        <v>12</v>
      </c>
      <c r="C317" s="1" t="s">
        <v>323</v>
      </c>
      <c r="D317" s="1">
        <v>82</v>
      </c>
      <c r="E317" s="1">
        <v>60</v>
      </c>
      <c r="F317" s="1">
        <v>22</v>
      </c>
    </row>
    <row r="318" spans="1:6">
      <c r="A318" s="2">
        <v>45737</v>
      </c>
      <c r="B318" s="1" t="s">
        <v>6</v>
      </c>
      <c r="C318" s="1" t="s">
        <v>324</v>
      </c>
      <c r="D318" s="1">
        <v>100</v>
      </c>
      <c r="E318" s="1">
        <v>89</v>
      </c>
      <c r="F318" s="1">
        <v>11</v>
      </c>
    </row>
    <row r="319" spans="1:6">
      <c r="A319" s="2">
        <v>45737</v>
      </c>
      <c r="B319" s="1" t="s">
        <v>8</v>
      </c>
      <c r="C319" s="1" t="s">
        <v>325</v>
      </c>
      <c r="D319" s="1">
        <v>40</v>
      </c>
      <c r="E319" s="1">
        <v>32</v>
      </c>
      <c r="F319" s="1">
        <v>8</v>
      </c>
    </row>
    <row r="320" spans="1:6">
      <c r="A320" s="2">
        <v>45737</v>
      </c>
      <c r="B320" s="1" t="s">
        <v>10</v>
      </c>
      <c r="C320" s="1" t="s">
        <v>326</v>
      </c>
      <c r="D320" s="1">
        <v>90</v>
      </c>
      <c r="E320" s="1">
        <v>75</v>
      </c>
      <c r="F320" s="1">
        <v>15</v>
      </c>
    </row>
    <row r="321" spans="1:6">
      <c r="A321" s="2">
        <v>45737</v>
      </c>
      <c r="B321" s="1" t="s">
        <v>12</v>
      </c>
      <c r="C321" s="1" t="s">
        <v>327</v>
      </c>
      <c r="D321" s="1">
        <v>48</v>
      </c>
      <c r="E321" s="1">
        <v>36</v>
      </c>
      <c r="F321" s="1">
        <v>12</v>
      </c>
    </row>
    <row r="322" spans="1:6">
      <c r="A322" s="2">
        <v>45738</v>
      </c>
      <c r="B322" s="1" t="s">
        <v>6</v>
      </c>
      <c r="C322" s="1" t="s">
        <v>328</v>
      </c>
      <c r="D322" s="1">
        <v>35</v>
      </c>
      <c r="E322" s="1">
        <v>34</v>
      </c>
      <c r="F322" s="1">
        <v>1</v>
      </c>
    </row>
    <row r="323" spans="1:6">
      <c r="A323" s="2">
        <v>45738</v>
      </c>
      <c r="B323" s="1" t="s">
        <v>8</v>
      </c>
      <c r="C323" s="1" t="s">
        <v>329</v>
      </c>
      <c r="D323" s="1">
        <v>83</v>
      </c>
      <c r="E323" s="1">
        <v>80</v>
      </c>
      <c r="F323" s="1">
        <v>3</v>
      </c>
    </row>
    <row r="324" spans="1:6">
      <c r="A324" s="2">
        <v>45738</v>
      </c>
      <c r="B324" s="1" t="s">
        <v>10</v>
      </c>
      <c r="C324" s="1" t="s">
        <v>330</v>
      </c>
      <c r="D324" s="1">
        <v>85</v>
      </c>
      <c r="E324" s="1">
        <v>81</v>
      </c>
      <c r="F324" s="1">
        <v>4</v>
      </c>
    </row>
    <row r="325" spans="1:6">
      <c r="A325" s="2">
        <v>45738</v>
      </c>
      <c r="B325" s="1" t="s">
        <v>12</v>
      </c>
      <c r="C325" s="1" t="s">
        <v>331</v>
      </c>
      <c r="D325" s="1">
        <v>73</v>
      </c>
      <c r="E325" s="1">
        <v>66</v>
      </c>
      <c r="F325" s="1">
        <v>7</v>
      </c>
    </row>
    <row r="326" spans="1:6">
      <c r="A326" s="2">
        <v>45739</v>
      </c>
      <c r="B326" s="1" t="s">
        <v>6</v>
      </c>
      <c r="C326" s="1" t="s">
        <v>332</v>
      </c>
      <c r="D326" s="1">
        <v>51</v>
      </c>
      <c r="E326" s="1">
        <v>49</v>
      </c>
      <c r="F326" s="1">
        <v>2</v>
      </c>
    </row>
    <row r="327" spans="1:6">
      <c r="A327" s="2">
        <v>45739</v>
      </c>
      <c r="B327" s="1" t="s">
        <v>8</v>
      </c>
      <c r="C327" s="1" t="s">
        <v>333</v>
      </c>
      <c r="D327" s="1">
        <v>69</v>
      </c>
      <c r="E327" s="1">
        <v>54</v>
      </c>
      <c r="F327" s="1">
        <v>15</v>
      </c>
    </row>
    <row r="328" spans="1:6">
      <c r="A328" s="2">
        <v>45739</v>
      </c>
      <c r="B328" s="1" t="s">
        <v>10</v>
      </c>
      <c r="C328" s="1" t="s">
        <v>334</v>
      </c>
      <c r="D328" s="1">
        <v>37</v>
      </c>
      <c r="E328" s="1">
        <v>26</v>
      </c>
      <c r="F328" s="1">
        <v>11</v>
      </c>
    </row>
    <row r="329" spans="1:6">
      <c r="A329" s="2">
        <v>45739</v>
      </c>
      <c r="B329" s="1" t="s">
        <v>12</v>
      </c>
      <c r="C329" s="1" t="s">
        <v>335</v>
      </c>
      <c r="D329" s="1">
        <v>73</v>
      </c>
      <c r="E329" s="1">
        <v>61</v>
      </c>
      <c r="F329" s="1">
        <v>12</v>
      </c>
    </row>
    <row r="330" spans="1:6">
      <c r="A330" s="2">
        <v>45740</v>
      </c>
      <c r="B330" s="1" t="s">
        <v>6</v>
      </c>
      <c r="C330" s="1" t="s">
        <v>336</v>
      </c>
      <c r="D330" s="1">
        <v>54</v>
      </c>
      <c r="E330" s="1">
        <v>37</v>
      </c>
      <c r="F330" s="1">
        <v>17</v>
      </c>
    </row>
    <row r="331" spans="1:6">
      <c r="A331" s="2">
        <v>45740</v>
      </c>
      <c r="B331" s="1" t="s">
        <v>8</v>
      </c>
      <c r="C331" s="1" t="s">
        <v>337</v>
      </c>
      <c r="D331" s="1">
        <v>58</v>
      </c>
      <c r="E331" s="1">
        <v>58</v>
      </c>
      <c r="F331" s="1">
        <v>0</v>
      </c>
    </row>
    <row r="332" spans="1:6">
      <c r="A332" s="2">
        <v>45740</v>
      </c>
      <c r="B332" s="1" t="s">
        <v>10</v>
      </c>
      <c r="C332" s="1" t="s">
        <v>338</v>
      </c>
      <c r="D332" s="1">
        <v>39</v>
      </c>
      <c r="E332" s="1">
        <v>34</v>
      </c>
      <c r="F332" s="1">
        <v>5</v>
      </c>
    </row>
    <row r="333" spans="1:6">
      <c r="A333" s="2">
        <v>45740</v>
      </c>
      <c r="B333" s="1" t="s">
        <v>12</v>
      </c>
      <c r="C333" s="1" t="s">
        <v>339</v>
      </c>
      <c r="D333" s="1">
        <v>81</v>
      </c>
      <c r="E333" s="1">
        <v>67</v>
      </c>
      <c r="F333" s="1">
        <v>14</v>
      </c>
    </row>
    <row r="334" spans="1:6">
      <c r="A334" s="2">
        <v>45741</v>
      </c>
      <c r="B334" s="1" t="s">
        <v>6</v>
      </c>
      <c r="C334" s="1" t="s">
        <v>340</v>
      </c>
      <c r="D334" s="1">
        <v>90</v>
      </c>
      <c r="E334" s="1">
        <v>86</v>
      </c>
      <c r="F334" s="1">
        <v>4</v>
      </c>
    </row>
    <row r="335" spans="1:6">
      <c r="A335" s="2">
        <v>45741</v>
      </c>
      <c r="B335" s="1" t="s">
        <v>8</v>
      </c>
      <c r="C335" s="1" t="s">
        <v>341</v>
      </c>
      <c r="D335" s="1">
        <v>68</v>
      </c>
      <c r="E335" s="1">
        <v>61</v>
      </c>
      <c r="F335" s="1">
        <v>7</v>
      </c>
    </row>
    <row r="336" spans="1:6">
      <c r="A336" s="2">
        <v>45741</v>
      </c>
      <c r="B336" s="1" t="s">
        <v>10</v>
      </c>
      <c r="C336" s="1" t="s">
        <v>342</v>
      </c>
      <c r="D336" s="1">
        <v>44</v>
      </c>
      <c r="E336" s="1">
        <v>41</v>
      </c>
      <c r="F336" s="1">
        <v>3</v>
      </c>
    </row>
    <row r="337" spans="1:6">
      <c r="A337" s="2">
        <v>45741</v>
      </c>
      <c r="B337" s="1" t="s">
        <v>12</v>
      </c>
      <c r="C337" s="1" t="s">
        <v>343</v>
      </c>
      <c r="D337" s="1">
        <v>93</v>
      </c>
      <c r="E337" s="1">
        <v>77</v>
      </c>
      <c r="F337" s="1">
        <v>16</v>
      </c>
    </row>
    <row r="338" spans="1:6">
      <c r="A338" s="2">
        <v>45742</v>
      </c>
      <c r="B338" s="1" t="s">
        <v>6</v>
      </c>
      <c r="C338" s="1" t="s">
        <v>344</v>
      </c>
      <c r="D338" s="1">
        <v>72</v>
      </c>
      <c r="E338" s="1">
        <v>51</v>
      </c>
      <c r="F338" s="1">
        <v>21</v>
      </c>
    </row>
    <row r="339" spans="1:6">
      <c r="A339" s="2">
        <v>45742</v>
      </c>
      <c r="B339" s="1" t="s">
        <v>8</v>
      </c>
      <c r="C339" s="1" t="s">
        <v>345</v>
      </c>
      <c r="D339" s="1">
        <v>80</v>
      </c>
      <c r="E339" s="1">
        <v>78</v>
      </c>
      <c r="F339" s="1">
        <v>2</v>
      </c>
    </row>
    <row r="340" spans="1:6">
      <c r="A340" s="2">
        <v>45742</v>
      </c>
      <c r="B340" s="1" t="s">
        <v>10</v>
      </c>
      <c r="C340" s="1" t="s">
        <v>346</v>
      </c>
      <c r="D340" s="1">
        <v>69</v>
      </c>
      <c r="E340" s="1">
        <v>69</v>
      </c>
      <c r="F340" s="1">
        <v>0</v>
      </c>
    </row>
    <row r="341" spans="1:6">
      <c r="A341" s="2">
        <v>45742</v>
      </c>
      <c r="B341" s="1" t="s">
        <v>12</v>
      </c>
      <c r="C341" s="1" t="s">
        <v>347</v>
      </c>
      <c r="D341" s="1">
        <v>83</v>
      </c>
      <c r="E341" s="1">
        <v>59</v>
      </c>
      <c r="F341" s="1">
        <v>24</v>
      </c>
    </row>
    <row r="342" spans="1:6">
      <c r="A342" s="2">
        <v>45743</v>
      </c>
      <c r="B342" s="1" t="s">
        <v>6</v>
      </c>
      <c r="C342" s="1" t="s">
        <v>348</v>
      </c>
      <c r="D342" s="1">
        <v>84</v>
      </c>
      <c r="E342" s="1">
        <v>76</v>
      </c>
      <c r="F342" s="1">
        <v>8</v>
      </c>
    </row>
    <row r="343" spans="1:6">
      <c r="A343" s="2">
        <v>45743</v>
      </c>
      <c r="B343" s="1" t="s">
        <v>8</v>
      </c>
      <c r="C343" s="1" t="s">
        <v>349</v>
      </c>
      <c r="D343" s="1">
        <v>32</v>
      </c>
      <c r="E343" s="1">
        <v>29</v>
      </c>
      <c r="F343" s="1">
        <v>3</v>
      </c>
    </row>
    <row r="344" spans="1:6">
      <c r="A344" s="2">
        <v>45743</v>
      </c>
      <c r="B344" s="1" t="s">
        <v>10</v>
      </c>
      <c r="C344" s="1" t="s">
        <v>350</v>
      </c>
      <c r="D344" s="1">
        <v>87</v>
      </c>
      <c r="E344" s="1">
        <v>74</v>
      </c>
      <c r="F344" s="1">
        <v>13</v>
      </c>
    </row>
    <row r="345" spans="1:6">
      <c r="A345" s="2">
        <v>45743</v>
      </c>
      <c r="B345" s="1" t="s">
        <v>12</v>
      </c>
      <c r="C345" s="1" t="s">
        <v>351</v>
      </c>
      <c r="D345" s="1">
        <v>38</v>
      </c>
      <c r="E345" s="1">
        <v>32</v>
      </c>
      <c r="F345" s="1">
        <v>6</v>
      </c>
    </row>
    <row r="346" spans="1:6">
      <c r="A346" s="2">
        <v>45744</v>
      </c>
      <c r="B346" s="1" t="s">
        <v>6</v>
      </c>
      <c r="C346" s="1" t="s">
        <v>352</v>
      </c>
      <c r="D346" s="1">
        <v>29</v>
      </c>
      <c r="E346" s="1">
        <v>27</v>
      </c>
      <c r="F346" s="1">
        <v>2</v>
      </c>
    </row>
    <row r="347" spans="1:6">
      <c r="A347" s="2">
        <v>45744</v>
      </c>
      <c r="B347" s="1" t="s">
        <v>8</v>
      </c>
      <c r="C347" s="1" t="s">
        <v>353</v>
      </c>
      <c r="D347" s="1">
        <v>63</v>
      </c>
      <c r="E347" s="1">
        <v>63</v>
      </c>
      <c r="F347" s="1">
        <v>0</v>
      </c>
    </row>
    <row r="348" spans="1:6">
      <c r="A348" s="2">
        <v>45744</v>
      </c>
      <c r="B348" s="1" t="s">
        <v>10</v>
      </c>
      <c r="C348" s="1" t="s">
        <v>354</v>
      </c>
      <c r="D348" s="1">
        <v>30</v>
      </c>
      <c r="E348" s="1">
        <v>26</v>
      </c>
      <c r="F348" s="1">
        <v>4</v>
      </c>
    </row>
    <row r="349" spans="1:6">
      <c r="A349" s="2">
        <v>45744</v>
      </c>
      <c r="B349" s="1" t="s">
        <v>12</v>
      </c>
      <c r="C349" s="1" t="s">
        <v>355</v>
      </c>
      <c r="D349" s="1">
        <v>68</v>
      </c>
      <c r="E349" s="1">
        <v>57</v>
      </c>
      <c r="F349" s="1">
        <v>11</v>
      </c>
    </row>
    <row r="350" spans="1:6">
      <c r="A350" s="2">
        <v>45745</v>
      </c>
      <c r="B350" s="1" t="s">
        <v>6</v>
      </c>
      <c r="C350" s="1" t="s">
        <v>356</v>
      </c>
      <c r="D350" s="1">
        <v>89</v>
      </c>
      <c r="E350" s="1">
        <v>63</v>
      </c>
      <c r="F350" s="1">
        <v>26</v>
      </c>
    </row>
    <row r="351" spans="1:6">
      <c r="A351" s="2">
        <v>45745</v>
      </c>
      <c r="B351" s="1" t="s">
        <v>8</v>
      </c>
      <c r="C351" s="1" t="s">
        <v>357</v>
      </c>
      <c r="D351" s="1">
        <v>50</v>
      </c>
      <c r="E351" s="1">
        <v>44</v>
      </c>
      <c r="F351" s="1">
        <v>6</v>
      </c>
    </row>
    <row r="352" spans="1:6">
      <c r="A352" s="2">
        <v>45745</v>
      </c>
      <c r="B352" s="1" t="s">
        <v>10</v>
      </c>
      <c r="C352" s="1" t="s">
        <v>358</v>
      </c>
      <c r="D352" s="1">
        <v>31</v>
      </c>
      <c r="E352" s="1">
        <v>27</v>
      </c>
      <c r="F352" s="1">
        <v>4</v>
      </c>
    </row>
    <row r="353" spans="1:6">
      <c r="A353" s="2">
        <v>45745</v>
      </c>
      <c r="B353" s="1" t="s">
        <v>12</v>
      </c>
      <c r="C353" s="1" t="s">
        <v>359</v>
      </c>
      <c r="D353" s="1">
        <v>32</v>
      </c>
      <c r="E353" s="1">
        <v>29</v>
      </c>
      <c r="F353" s="1">
        <v>3</v>
      </c>
    </row>
    <row r="354" spans="1:6">
      <c r="A354" s="2">
        <v>45746</v>
      </c>
      <c r="B354" s="1" t="s">
        <v>6</v>
      </c>
      <c r="C354" s="1" t="s">
        <v>360</v>
      </c>
      <c r="D354" s="1">
        <v>58</v>
      </c>
      <c r="E354" s="1">
        <v>40</v>
      </c>
      <c r="F354" s="1">
        <v>18</v>
      </c>
    </row>
    <row r="355" spans="1:6">
      <c r="A355" s="2">
        <v>45746</v>
      </c>
      <c r="B355" s="1" t="s">
        <v>8</v>
      </c>
      <c r="C355" s="1" t="s">
        <v>361</v>
      </c>
      <c r="D355" s="1">
        <v>61</v>
      </c>
      <c r="E355" s="1">
        <v>43</v>
      </c>
      <c r="F355" s="1">
        <v>18</v>
      </c>
    </row>
    <row r="356" spans="1:6">
      <c r="A356" s="2">
        <v>45746</v>
      </c>
      <c r="B356" s="1" t="s">
        <v>10</v>
      </c>
      <c r="C356" s="1" t="s">
        <v>362</v>
      </c>
      <c r="D356" s="1">
        <v>65</v>
      </c>
      <c r="E356" s="1">
        <v>56</v>
      </c>
      <c r="F356" s="1">
        <v>9</v>
      </c>
    </row>
    <row r="357" spans="1:6">
      <c r="A357" s="2">
        <v>45746</v>
      </c>
      <c r="B357" s="1" t="s">
        <v>12</v>
      </c>
      <c r="C357" s="1" t="s">
        <v>363</v>
      </c>
      <c r="D357" s="1">
        <v>38</v>
      </c>
      <c r="E357" s="1">
        <v>29</v>
      </c>
      <c r="F357" s="1">
        <v>9</v>
      </c>
    </row>
    <row r="358" spans="1:6">
      <c r="A358" s="2">
        <v>45747</v>
      </c>
      <c r="B358" s="1" t="s">
        <v>6</v>
      </c>
      <c r="C358" s="1" t="s">
        <v>364</v>
      </c>
      <c r="D358" s="1">
        <v>72</v>
      </c>
      <c r="E358" s="1">
        <v>68</v>
      </c>
      <c r="F358" s="1">
        <v>4</v>
      </c>
    </row>
    <row r="359" spans="1:6">
      <c r="A359" s="2">
        <v>45747</v>
      </c>
      <c r="B359" s="1" t="s">
        <v>8</v>
      </c>
      <c r="C359" s="1" t="s">
        <v>365</v>
      </c>
      <c r="D359" s="1">
        <v>41</v>
      </c>
      <c r="E359" s="1">
        <v>30</v>
      </c>
      <c r="F359" s="1">
        <v>11</v>
      </c>
    </row>
    <row r="360" spans="1:6">
      <c r="A360" s="2">
        <v>45747</v>
      </c>
      <c r="B360" s="1" t="s">
        <v>10</v>
      </c>
      <c r="C360" s="1" t="s">
        <v>366</v>
      </c>
      <c r="D360" s="1">
        <v>98</v>
      </c>
      <c r="E360" s="1">
        <v>95</v>
      </c>
      <c r="F360" s="1">
        <v>3</v>
      </c>
    </row>
    <row r="361" spans="1:6">
      <c r="A361" s="2">
        <v>45747</v>
      </c>
      <c r="B361" s="1" t="s">
        <v>12</v>
      </c>
      <c r="C361" s="1" t="s">
        <v>367</v>
      </c>
      <c r="D361" s="1">
        <v>99</v>
      </c>
      <c r="E361" s="1">
        <v>90</v>
      </c>
      <c r="F361" s="1">
        <v>9</v>
      </c>
    </row>
    <row r="362" spans="1:6">
      <c r="A362" s="2">
        <v>45748</v>
      </c>
      <c r="B362" s="1" t="s">
        <v>6</v>
      </c>
      <c r="C362" s="1" t="s">
        <v>368</v>
      </c>
      <c r="D362" s="1">
        <v>83</v>
      </c>
      <c r="E362" s="1">
        <v>76</v>
      </c>
      <c r="F362" s="1">
        <v>7</v>
      </c>
    </row>
    <row r="363" spans="1:6">
      <c r="A363" s="2">
        <v>45748</v>
      </c>
      <c r="B363" s="1" t="s">
        <v>8</v>
      </c>
      <c r="C363" s="1" t="s">
        <v>369</v>
      </c>
      <c r="D363" s="1">
        <v>49</v>
      </c>
      <c r="E363" s="1">
        <v>48</v>
      </c>
      <c r="F363" s="1">
        <v>1</v>
      </c>
    </row>
    <row r="364" spans="1:6">
      <c r="A364" s="2">
        <v>45748</v>
      </c>
      <c r="B364" s="1" t="s">
        <v>10</v>
      </c>
      <c r="C364" s="1" t="s">
        <v>370</v>
      </c>
      <c r="D364" s="1">
        <v>78</v>
      </c>
      <c r="E364" s="1">
        <v>62</v>
      </c>
      <c r="F364" s="1">
        <v>16</v>
      </c>
    </row>
    <row r="365" spans="1:6">
      <c r="A365" s="2">
        <v>45748</v>
      </c>
      <c r="B365" s="1" t="s">
        <v>12</v>
      </c>
      <c r="C365" s="1" t="s">
        <v>371</v>
      </c>
      <c r="D365" s="1">
        <v>79</v>
      </c>
      <c r="E365" s="1">
        <v>64</v>
      </c>
      <c r="F365" s="1">
        <v>15</v>
      </c>
    </row>
    <row r="366" spans="1:6">
      <c r="A366" s="2">
        <v>45749</v>
      </c>
      <c r="B366" s="1" t="s">
        <v>6</v>
      </c>
      <c r="C366" s="1" t="s">
        <v>372</v>
      </c>
      <c r="D366" s="1">
        <v>40</v>
      </c>
      <c r="E366" s="1">
        <v>29</v>
      </c>
      <c r="F366" s="1">
        <v>11</v>
      </c>
    </row>
    <row r="367" spans="1:6">
      <c r="A367" s="2">
        <v>45749</v>
      </c>
      <c r="B367" s="1" t="s">
        <v>8</v>
      </c>
      <c r="C367" s="1" t="s">
        <v>373</v>
      </c>
      <c r="D367" s="1">
        <v>64</v>
      </c>
      <c r="E367" s="1">
        <v>62</v>
      </c>
      <c r="F367" s="1">
        <v>2</v>
      </c>
    </row>
    <row r="368" spans="1:6">
      <c r="A368" s="2">
        <v>45749</v>
      </c>
      <c r="B368" s="1" t="s">
        <v>10</v>
      </c>
      <c r="C368" s="1" t="s">
        <v>374</v>
      </c>
      <c r="D368" s="1">
        <v>74</v>
      </c>
      <c r="E368" s="1">
        <v>73</v>
      </c>
      <c r="F368" s="1">
        <v>1</v>
      </c>
    </row>
    <row r="369" spans="1:6">
      <c r="A369" s="2">
        <v>45749</v>
      </c>
      <c r="B369" s="1" t="s">
        <v>12</v>
      </c>
      <c r="C369" s="1" t="s">
        <v>375</v>
      </c>
      <c r="D369" s="1">
        <v>78</v>
      </c>
      <c r="E369" s="1">
        <v>63</v>
      </c>
      <c r="F369" s="1">
        <v>15</v>
      </c>
    </row>
    <row r="370" spans="1:6">
      <c r="A370" s="2">
        <v>45750</v>
      </c>
      <c r="B370" s="1" t="s">
        <v>6</v>
      </c>
      <c r="C370" s="1" t="s">
        <v>376</v>
      </c>
      <c r="D370" s="1">
        <v>69</v>
      </c>
      <c r="E370" s="1">
        <v>63</v>
      </c>
      <c r="F370" s="1">
        <v>6</v>
      </c>
    </row>
    <row r="371" spans="1:6">
      <c r="A371" s="2">
        <v>45750</v>
      </c>
      <c r="B371" s="1" t="s">
        <v>8</v>
      </c>
      <c r="C371" s="1" t="s">
        <v>377</v>
      </c>
      <c r="D371" s="1">
        <v>50</v>
      </c>
      <c r="E371" s="1">
        <v>47</v>
      </c>
      <c r="F371" s="1">
        <v>3</v>
      </c>
    </row>
    <row r="372" spans="1:6">
      <c r="A372" s="2">
        <v>45750</v>
      </c>
      <c r="B372" s="1" t="s">
        <v>10</v>
      </c>
      <c r="C372" s="1" t="s">
        <v>378</v>
      </c>
      <c r="D372" s="1">
        <v>93</v>
      </c>
      <c r="E372" s="1">
        <v>74</v>
      </c>
      <c r="F372" s="1">
        <v>19</v>
      </c>
    </row>
    <row r="373" spans="1:6">
      <c r="A373" s="2">
        <v>45750</v>
      </c>
      <c r="B373" s="1" t="s">
        <v>12</v>
      </c>
      <c r="C373" s="1" t="s">
        <v>379</v>
      </c>
      <c r="D373" s="1">
        <v>22</v>
      </c>
      <c r="E373" s="1">
        <v>21</v>
      </c>
      <c r="F373" s="1">
        <v>1</v>
      </c>
    </row>
    <row r="374" spans="1:6">
      <c r="A374" s="2">
        <v>45751</v>
      </c>
      <c r="B374" s="1" t="s">
        <v>6</v>
      </c>
      <c r="C374" s="1" t="s">
        <v>380</v>
      </c>
      <c r="D374" s="1">
        <v>21</v>
      </c>
      <c r="E374" s="1">
        <v>14</v>
      </c>
      <c r="F374" s="1">
        <v>7</v>
      </c>
    </row>
    <row r="375" spans="1:6">
      <c r="A375" s="2">
        <v>45751</v>
      </c>
      <c r="B375" s="1" t="s">
        <v>8</v>
      </c>
      <c r="C375" s="1" t="s">
        <v>381</v>
      </c>
      <c r="D375" s="1">
        <v>56</v>
      </c>
      <c r="E375" s="1">
        <v>46</v>
      </c>
      <c r="F375" s="1">
        <v>10</v>
      </c>
    </row>
    <row r="376" spans="1:6">
      <c r="A376" s="2">
        <v>45751</v>
      </c>
      <c r="B376" s="1" t="s">
        <v>10</v>
      </c>
      <c r="C376" s="1" t="s">
        <v>382</v>
      </c>
      <c r="D376" s="1">
        <v>48</v>
      </c>
      <c r="E376" s="1">
        <v>39</v>
      </c>
      <c r="F376" s="1">
        <v>9</v>
      </c>
    </row>
    <row r="377" spans="1:6">
      <c r="A377" s="2">
        <v>45751</v>
      </c>
      <c r="B377" s="1" t="s">
        <v>12</v>
      </c>
      <c r="C377" s="1" t="s">
        <v>383</v>
      </c>
      <c r="D377" s="1">
        <v>37</v>
      </c>
      <c r="E377" s="1">
        <v>35</v>
      </c>
      <c r="F377" s="1">
        <v>2</v>
      </c>
    </row>
    <row r="378" spans="1:6">
      <c r="A378" s="2">
        <v>45752</v>
      </c>
      <c r="B378" s="1" t="s">
        <v>6</v>
      </c>
      <c r="C378" s="1" t="s">
        <v>384</v>
      </c>
      <c r="D378" s="1">
        <v>100</v>
      </c>
      <c r="E378" s="1">
        <v>90</v>
      </c>
      <c r="F378" s="1">
        <v>10</v>
      </c>
    </row>
    <row r="379" spans="1:6">
      <c r="A379" s="2">
        <v>45752</v>
      </c>
      <c r="B379" s="1" t="s">
        <v>8</v>
      </c>
      <c r="C379" s="1" t="s">
        <v>385</v>
      </c>
      <c r="D379" s="1">
        <v>59</v>
      </c>
      <c r="E379" s="1">
        <v>55</v>
      </c>
      <c r="F379" s="1">
        <v>4</v>
      </c>
    </row>
    <row r="380" spans="1:6">
      <c r="A380" s="2">
        <v>45752</v>
      </c>
      <c r="B380" s="1" t="s">
        <v>10</v>
      </c>
      <c r="C380" s="1" t="s">
        <v>386</v>
      </c>
      <c r="D380" s="1">
        <v>94</v>
      </c>
      <c r="E380" s="1">
        <v>76</v>
      </c>
      <c r="F380" s="1">
        <v>18</v>
      </c>
    </row>
    <row r="381" spans="1:6">
      <c r="A381" s="2">
        <v>45752</v>
      </c>
      <c r="B381" s="1" t="s">
        <v>12</v>
      </c>
      <c r="C381" s="1" t="s">
        <v>387</v>
      </c>
      <c r="D381" s="1">
        <v>31</v>
      </c>
      <c r="E381" s="1">
        <v>25</v>
      </c>
      <c r="F381" s="1">
        <v>6</v>
      </c>
    </row>
    <row r="382" spans="1:6">
      <c r="A382" s="2">
        <v>45753</v>
      </c>
      <c r="B382" s="1" t="s">
        <v>6</v>
      </c>
      <c r="C382" s="1" t="s">
        <v>388</v>
      </c>
      <c r="D382" s="1">
        <v>73</v>
      </c>
      <c r="E382" s="1">
        <v>56</v>
      </c>
      <c r="F382" s="1">
        <v>17</v>
      </c>
    </row>
    <row r="383" spans="1:6">
      <c r="A383" s="2">
        <v>45753</v>
      </c>
      <c r="B383" s="1" t="s">
        <v>8</v>
      </c>
      <c r="C383" s="1" t="s">
        <v>389</v>
      </c>
      <c r="D383" s="1">
        <v>36</v>
      </c>
      <c r="E383" s="1">
        <v>33</v>
      </c>
      <c r="F383" s="1">
        <v>3</v>
      </c>
    </row>
    <row r="384" spans="1:6">
      <c r="A384" s="2">
        <v>45753</v>
      </c>
      <c r="B384" s="1" t="s">
        <v>10</v>
      </c>
      <c r="C384" s="1" t="s">
        <v>390</v>
      </c>
      <c r="D384" s="1">
        <v>87</v>
      </c>
      <c r="E384" s="1">
        <v>76</v>
      </c>
      <c r="F384" s="1">
        <v>11</v>
      </c>
    </row>
    <row r="385" spans="1:6">
      <c r="A385" s="2">
        <v>45753</v>
      </c>
      <c r="B385" s="1" t="s">
        <v>12</v>
      </c>
      <c r="C385" s="1" t="s">
        <v>391</v>
      </c>
      <c r="D385" s="1">
        <v>41</v>
      </c>
      <c r="E385" s="1">
        <v>32</v>
      </c>
      <c r="F385" s="1">
        <v>9</v>
      </c>
    </row>
    <row r="386" spans="1:6">
      <c r="A386" s="2">
        <v>45754</v>
      </c>
      <c r="B386" s="1" t="s">
        <v>6</v>
      </c>
      <c r="C386" s="1" t="s">
        <v>392</v>
      </c>
      <c r="D386" s="1">
        <v>57</v>
      </c>
      <c r="E386" s="1">
        <v>49</v>
      </c>
      <c r="F386" s="1">
        <v>8</v>
      </c>
    </row>
    <row r="387" spans="1:6">
      <c r="A387" s="2">
        <v>45754</v>
      </c>
      <c r="B387" s="1" t="s">
        <v>8</v>
      </c>
      <c r="C387" s="1" t="s">
        <v>393</v>
      </c>
      <c r="D387" s="1">
        <v>79</v>
      </c>
      <c r="E387" s="1">
        <v>57</v>
      </c>
      <c r="F387" s="1">
        <v>22</v>
      </c>
    </row>
    <row r="388" spans="1:6">
      <c r="A388" s="2">
        <v>45754</v>
      </c>
      <c r="B388" s="1" t="s">
        <v>10</v>
      </c>
      <c r="C388" s="1" t="s">
        <v>394</v>
      </c>
      <c r="D388" s="1">
        <v>48</v>
      </c>
      <c r="E388" s="1">
        <v>45</v>
      </c>
      <c r="F388" s="1">
        <v>3</v>
      </c>
    </row>
    <row r="389" spans="1:6">
      <c r="A389" s="2">
        <v>45754</v>
      </c>
      <c r="B389" s="1" t="s">
        <v>12</v>
      </c>
      <c r="C389" s="1" t="s">
        <v>395</v>
      </c>
      <c r="D389" s="1">
        <v>31</v>
      </c>
      <c r="E389" s="1">
        <v>27</v>
      </c>
      <c r="F389" s="1">
        <v>4</v>
      </c>
    </row>
    <row r="390" spans="1:6">
      <c r="A390" s="2">
        <v>45755</v>
      </c>
      <c r="B390" s="1" t="s">
        <v>6</v>
      </c>
      <c r="C390" s="1" t="s">
        <v>396</v>
      </c>
      <c r="D390" s="1">
        <v>53</v>
      </c>
      <c r="E390" s="1">
        <v>40</v>
      </c>
      <c r="F390" s="1">
        <v>13</v>
      </c>
    </row>
    <row r="391" spans="1:6">
      <c r="A391" s="2">
        <v>45755</v>
      </c>
      <c r="B391" s="1" t="s">
        <v>8</v>
      </c>
      <c r="C391" s="1" t="s">
        <v>397</v>
      </c>
      <c r="D391" s="1">
        <v>67</v>
      </c>
      <c r="E391" s="1">
        <v>67</v>
      </c>
      <c r="F391" s="1">
        <v>0</v>
      </c>
    </row>
    <row r="392" spans="1:6">
      <c r="A392" s="2">
        <v>45755</v>
      </c>
      <c r="B392" s="1" t="s">
        <v>10</v>
      </c>
      <c r="C392" s="1" t="s">
        <v>398</v>
      </c>
      <c r="D392" s="1">
        <v>94</v>
      </c>
      <c r="E392" s="1">
        <v>77</v>
      </c>
      <c r="F392" s="1">
        <v>17</v>
      </c>
    </row>
    <row r="393" spans="1:6">
      <c r="A393" s="2">
        <v>45755</v>
      </c>
      <c r="B393" s="1" t="s">
        <v>12</v>
      </c>
      <c r="C393" s="1" t="s">
        <v>399</v>
      </c>
      <c r="D393" s="1">
        <v>33</v>
      </c>
      <c r="E393" s="1">
        <v>33</v>
      </c>
      <c r="F393" s="1">
        <v>0</v>
      </c>
    </row>
    <row r="394" spans="1:6">
      <c r="A394" s="2">
        <v>45756</v>
      </c>
      <c r="B394" s="1" t="s">
        <v>6</v>
      </c>
      <c r="C394" s="1" t="s">
        <v>400</v>
      </c>
      <c r="D394" s="1">
        <v>80</v>
      </c>
      <c r="E394" s="1">
        <v>56</v>
      </c>
      <c r="F394" s="1">
        <v>24</v>
      </c>
    </row>
    <row r="395" spans="1:6">
      <c r="A395" s="2">
        <v>45756</v>
      </c>
      <c r="B395" s="1" t="s">
        <v>8</v>
      </c>
      <c r="C395" s="1" t="s">
        <v>401</v>
      </c>
      <c r="D395" s="1">
        <v>98</v>
      </c>
      <c r="E395" s="1">
        <v>75</v>
      </c>
      <c r="F395" s="1">
        <v>23</v>
      </c>
    </row>
    <row r="396" spans="1:6">
      <c r="A396" s="2">
        <v>45756</v>
      </c>
      <c r="B396" s="1" t="s">
        <v>10</v>
      </c>
      <c r="C396" s="1" t="s">
        <v>402</v>
      </c>
      <c r="D396" s="1">
        <v>79</v>
      </c>
      <c r="E396" s="1">
        <v>77</v>
      </c>
      <c r="F396" s="1">
        <v>2</v>
      </c>
    </row>
    <row r="397" spans="1:6">
      <c r="A397" s="2">
        <v>45756</v>
      </c>
      <c r="B397" s="1" t="s">
        <v>12</v>
      </c>
      <c r="C397" s="1" t="s">
        <v>403</v>
      </c>
      <c r="D397" s="1">
        <v>72</v>
      </c>
      <c r="E397" s="1">
        <v>53</v>
      </c>
      <c r="F397" s="1">
        <v>19</v>
      </c>
    </row>
    <row r="398" spans="1:6">
      <c r="A398" s="2">
        <v>45757</v>
      </c>
      <c r="B398" s="1" t="s">
        <v>6</v>
      </c>
      <c r="C398" s="1" t="s">
        <v>404</v>
      </c>
      <c r="D398" s="1">
        <v>25</v>
      </c>
      <c r="E398" s="1">
        <v>17</v>
      </c>
      <c r="F398" s="1">
        <v>8</v>
      </c>
    </row>
    <row r="399" spans="1:6">
      <c r="A399" s="2">
        <v>45757</v>
      </c>
      <c r="B399" s="1" t="s">
        <v>8</v>
      </c>
      <c r="C399" s="1" t="s">
        <v>405</v>
      </c>
      <c r="D399" s="1">
        <v>83</v>
      </c>
      <c r="E399" s="1">
        <v>61</v>
      </c>
      <c r="F399" s="1">
        <v>22</v>
      </c>
    </row>
    <row r="400" spans="1:6">
      <c r="A400" s="2">
        <v>45757</v>
      </c>
      <c r="B400" s="1" t="s">
        <v>10</v>
      </c>
      <c r="C400" s="1" t="s">
        <v>406</v>
      </c>
      <c r="D400" s="1">
        <v>50</v>
      </c>
      <c r="E400" s="1">
        <v>39</v>
      </c>
      <c r="F400" s="1">
        <v>11</v>
      </c>
    </row>
    <row r="401" spans="1:6">
      <c r="A401" s="2">
        <v>45757</v>
      </c>
      <c r="B401" s="1" t="s">
        <v>12</v>
      </c>
      <c r="C401" s="1" t="s">
        <v>407</v>
      </c>
      <c r="D401" s="1">
        <v>78</v>
      </c>
      <c r="E401" s="1">
        <v>65</v>
      </c>
      <c r="F401" s="1">
        <v>13</v>
      </c>
    </row>
    <row r="402" spans="1:6">
      <c r="A402" s="2">
        <v>45758</v>
      </c>
      <c r="B402" s="1" t="s">
        <v>6</v>
      </c>
      <c r="C402" s="1" t="s">
        <v>408</v>
      </c>
      <c r="D402" s="1">
        <v>73</v>
      </c>
      <c r="E402" s="1">
        <v>69</v>
      </c>
      <c r="F402" s="1">
        <v>4</v>
      </c>
    </row>
    <row r="403" spans="1:6">
      <c r="A403" s="2">
        <v>45758</v>
      </c>
      <c r="B403" s="1" t="s">
        <v>8</v>
      </c>
      <c r="C403" s="1" t="s">
        <v>409</v>
      </c>
      <c r="D403" s="1">
        <v>73</v>
      </c>
      <c r="E403" s="1">
        <v>71</v>
      </c>
      <c r="F403" s="1">
        <v>2</v>
      </c>
    </row>
    <row r="404" spans="1:6">
      <c r="A404" s="2">
        <v>45758</v>
      </c>
      <c r="B404" s="1" t="s">
        <v>10</v>
      </c>
      <c r="C404" s="1" t="s">
        <v>410</v>
      </c>
      <c r="D404" s="1">
        <v>82</v>
      </c>
      <c r="E404" s="1">
        <v>76</v>
      </c>
      <c r="F404" s="1">
        <v>6</v>
      </c>
    </row>
    <row r="405" spans="1:6">
      <c r="A405" s="2">
        <v>45758</v>
      </c>
      <c r="B405" s="1" t="s">
        <v>12</v>
      </c>
      <c r="C405" s="1" t="s">
        <v>411</v>
      </c>
      <c r="D405" s="1">
        <v>55</v>
      </c>
      <c r="E405" s="1">
        <v>39</v>
      </c>
      <c r="F405" s="1">
        <v>16</v>
      </c>
    </row>
    <row r="406" spans="1:6">
      <c r="A406" s="2">
        <v>45759</v>
      </c>
      <c r="B406" s="1" t="s">
        <v>6</v>
      </c>
      <c r="C406" s="1" t="s">
        <v>412</v>
      </c>
      <c r="D406" s="1">
        <v>47</v>
      </c>
      <c r="E406" s="1">
        <v>46</v>
      </c>
      <c r="F406" s="1">
        <v>1</v>
      </c>
    </row>
    <row r="407" spans="1:6">
      <c r="A407" s="2">
        <v>45759</v>
      </c>
      <c r="B407" s="1" t="s">
        <v>8</v>
      </c>
      <c r="C407" s="1" t="s">
        <v>413</v>
      </c>
      <c r="D407" s="1">
        <v>50</v>
      </c>
      <c r="E407" s="1">
        <v>46</v>
      </c>
      <c r="F407" s="1">
        <v>4</v>
      </c>
    </row>
    <row r="408" spans="1:6">
      <c r="A408" s="2">
        <v>45759</v>
      </c>
      <c r="B408" s="1" t="s">
        <v>10</v>
      </c>
      <c r="C408" s="1" t="s">
        <v>414</v>
      </c>
      <c r="D408" s="1">
        <v>67</v>
      </c>
      <c r="E408" s="1">
        <v>63</v>
      </c>
      <c r="F408" s="1">
        <v>4</v>
      </c>
    </row>
    <row r="409" spans="1:6">
      <c r="A409" s="2">
        <v>45759</v>
      </c>
      <c r="B409" s="1" t="s">
        <v>12</v>
      </c>
      <c r="C409" s="1" t="s">
        <v>415</v>
      </c>
      <c r="D409" s="1">
        <v>27</v>
      </c>
      <c r="E409" s="1">
        <v>24</v>
      </c>
      <c r="F409" s="1">
        <v>3</v>
      </c>
    </row>
    <row r="410" spans="1:6">
      <c r="A410" s="2">
        <v>45760</v>
      </c>
      <c r="B410" s="1" t="s">
        <v>6</v>
      </c>
      <c r="C410" s="1" t="s">
        <v>416</v>
      </c>
      <c r="D410" s="1">
        <v>44</v>
      </c>
      <c r="E410" s="1">
        <v>31</v>
      </c>
      <c r="F410" s="1">
        <v>13</v>
      </c>
    </row>
    <row r="411" spans="1:6">
      <c r="A411" s="2">
        <v>45760</v>
      </c>
      <c r="B411" s="1" t="s">
        <v>8</v>
      </c>
      <c r="C411" s="1" t="s">
        <v>417</v>
      </c>
      <c r="D411" s="1">
        <v>31</v>
      </c>
      <c r="E411" s="1">
        <v>31</v>
      </c>
      <c r="F411" s="1">
        <v>0</v>
      </c>
    </row>
    <row r="412" spans="1:6">
      <c r="A412" s="2">
        <v>45760</v>
      </c>
      <c r="B412" s="1" t="s">
        <v>10</v>
      </c>
      <c r="C412" s="1" t="s">
        <v>418</v>
      </c>
      <c r="D412" s="1">
        <v>96</v>
      </c>
      <c r="E412" s="1">
        <v>67</v>
      </c>
      <c r="F412" s="1">
        <v>29</v>
      </c>
    </row>
    <row r="413" spans="1:6">
      <c r="A413" s="2">
        <v>45760</v>
      </c>
      <c r="B413" s="1" t="s">
        <v>12</v>
      </c>
      <c r="C413" s="1" t="s">
        <v>93</v>
      </c>
      <c r="D413" s="1">
        <v>62</v>
      </c>
      <c r="E413" s="1">
        <v>50</v>
      </c>
      <c r="F413" s="1">
        <v>12</v>
      </c>
    </row>
    <row r="414" spans="1:6">
      <c r="A414" s="2">
        <v>45761</v>
      </c>
      <c r="B414" s="1" t="s">
        <v>6</v>
      </c>
      <c r="C414" s="1" t="s">
        <v>419</v>
      </c>
      <c r="D414" s="1">
        <v>92</v>
      </c>
      <c r="E414" s="1">
        <v>70</v>
      </c>
      <c r="F414" s="1">
        <v>22</v>
      </c>
    </row>
    <row r="415" spans="1:6">
      <c r="A415" s="2">
        <v>45761</v>
      </c>
      <c r="B415" s="1" t="s">
        <v>8</v>
      </c>
      <c r="C415" s="1" t="s">
        <v>420</v>
      </c>
      <c r="D415" s="1">
        <v>90</v>
      </c>
      <c r="E415" s="1">
        <v>68</v>
      </c>
      <c r="F415" s="1">
        <v>22</v>
      </c>
    </row>
    <row r="416" spans="1:6">
      <c r="A416" s="2">
        <v>45761</v>
      </c>
      <c r="B416" s="1" t="s">
        <v>10</v>
      </c>
      <c r="C416" s="1" t="s">
        <v>421</v>
      </c>
      <c r="D416" s="1">
        <v>49</v>
      </c>
      <c r="E416" s="1">
        <v>44</v>
      </c>
      <c r="F416" s="1">
        <v>5</v>
      </c>
    </row>
    <row r="417" spans="1:6">
      <c r="A417" s="2">
        <v>45761</v>
      </c>
      <c r="B417" s="1" t="s">
        <v>12</v>
      </c>
      <c r="C417" s="1" t="s">
        <v>422</v>
      </c>
      <c r="D417" s="1">
        <v>96</v>
      </c>
      <c r="E417" s="1">
        <v>67</v>
      </c>
      <c r="F417" s="1">
        <v>29</v>
      </c>
    </row>
    <row r="418" spans="1:6">
      <c r="A418" s="2">
        <v>45762</v>
      </c>
      <c r="B418" s="1" t="s">
        <v>6</v>
      </c>
      <c r="C418" s="1" t="s">
        <v>423</v>
      </c>
      <c r="D418" s="1">
        <v>38</v>
      </c>
      <c r="E418" s="1">
        <v>28</v>
      </c>
      <c r="F418" s="1">
        <v>10</v>
      </c>
    </row>
    <row r="419" spans="1:6">
      <c r="A419" s="2">
        <v>45762</v>
      </c>
      <c r="B419" s="1" t="s">
        <v>8</v>
      </c>
      <c r="C419" s="1" t="s">
        <v>424</v>
      </c>
      <c r="D419" s="1">
        <v>52</v>
      </c>
      <c r="E419" s="1">
        <v>41</v>
      </c>
      <c r="F419" s="1">
        <v>11</v>
      </c>
    </row>
    <row r="420" spans="1:6">
      <c r="A420" s="2">
        <v>45762</v>
      </c>
      <c r="B420" s="1" t="s">
        <v>10</v>
      </c>
      <c r="C420" s="1" t="s">
        <v>425</v>
      </c>
      <c r="D420" s="1">
        <v>23</v>
      </c>
      <c r="E420" s="1">
        <v>18</v>
      </c>
      <c r="F420" s="1">
        <v>5</v>
      </c>
    </row>
    <row r="421" spans="1:6">
      <c r="A421" s="2">
        <v>45762</v>
      </c>
      <c r="B421" s="1" t="s">
        <v>12</v>
      </c>
      <c r="C421" s="1" t="s">
        <v>426</v>
      </c>
      <c r="D421" s="1">
        <v>65</v>
      </c>
      <c r="E421" s="1">
        <v>52</v>
      </c>
      <c r="F421" s="1">
        <v>13</v>
      </c>
    </row>
    <row r="422" spans="1:6">
      <c r="A422" s="2">
        <v>45763</v>
      </c>
      <c r="B422" s="1" t="s">
        <v>6</v>
      </c>
      <c r="C422" s="1" t="s">
        <v>427</v>
      </c>
      <c r="D422" s="1">
        <v>22</v>
      </c>
      <c r="E422" s="1">
        <v>17</v>
      </c>
      <c r="F422" s="1">
        <v>5</v>
      </c>
    </row>
    <row r="423" spans="1:6">
      <c r="A423" s="2">
        <v>45763</v>
      </c>
      <c r="B423" s="1" t="s">
        <v>8</v>
      </c>
      <c r="C423" s="1" t="s">
        <v>428</v>
      </c>
      <c r="D423" s="1">
        <v>26</v>
      </c>
      <c r="E423" s="1">
        <v>20</v>
      </c>
      <c r="F423" s="1">
        <v>6</v>
      </c>
    </row>
    <row r="424" spans="1:6">
      <c r="A424" s="2">
        <v>45763</v>
      </c>
      <c r="B424" s="1" t="s">
        <v>10</v>
      </c>
      <c r="C424" s="1" t="s">
        <v>429</v>
      </c>
      <c r="D424" s="1">
        <v>87</v>
      </c>
      <c r="E424" s="1">
        <v>63</v>
      </c>
      <c r="F424" s="1">
        <v>24</v>
      </c>
    </row>
    <row r="425" spans="1:6">
      <c r="A425" s="2">
        <v>45763</v>
      </c>
      <c r="B425" s="1" t="s">
        <v>12</v>
      </c>
      <c r="C425" s="1" t="s">
        <v>430</v>
      </c>
      <c r="D425" s="1">
        <v>80</v>
      </c>
      <c r="E425" s="1">
        <v>70</v>
      </c>
      <c r="F425" s="1">
        <v>10</v>
      </c>
    </row>
    <row r="426" spans="1:6">
      <c r="A426" s="2">
        <v>45764</v>
      </c>
      <c r="B426" s="1" t="s">
        <v>6</v>
      </c>
      <c r="C426" s="1" t="s">
        <v>431</v>
      </c>
      <c r="D426" s="1">
        <v>85</v>
      </c>
      <c r="E426" s="1">
        <v>77</v>
      </c>
      <c r="F426" s="1">
        <v>8</v>
      </c>
    </row>
    <row r="427" spans="1:6">
      <c r="A427" s="2">
        <v>45764</v>
      </c>
      <c r="B427" s="1" t="s">
        <v>8</v>
      </c>
      <c r="C427" s="1" t="s">
        <v>432</v>
      </c>
      <c r="D427" s="1">
        <v>77</v>
      </c>
      <c r="E427" s="1">
        <v>69</v>
      </c>
      <c r="F427" s="1">
        <v>8</v>
      </c>
    </row>
    <row r="428" spans="1:6">
      <c r="A428" s="2">
        <v>45764</v>
      </c>
      <c r="B428" s="1" t="s">
        <v>10</v>
      </c>
      <c r="C428" s="1" t="s">
        <v>433</v>
      </c>
      <c r="D428" s="1">
        <v>98</v>
      </c>
      <c r="E428" s="1">
        <v>69</v>
      </c>
      <c r="F428" s="1">
        <v>29</v>
      </c>
    </row>
    <row r="429" spans="1:6">
      <c r="A429" s="2">
        <v>45764</v>
      </c>
      <c r="B429" s="1" t="s">
        <v>12</v>
      </c>
      <c r="C429" s="1" t="s">
        <v>434</v>
      </c>
      <c r="D429" s="1">
        <v>58</v>
      </c>
      <c r="E429" s="1">
        <v>54</v>
      </c>
      <c r="F429" s="1">
        <v>4</v>
      </c>
    </row>
    <row r="430" spans="1:6">
      <c r="A430" s="2">
        <v>45765</v>
      </c>
      <c r="B430" s="1" t="s">
        <v>6</v>
      </c>
      <c r="C430" s="1" t="s">
        <v>435</v>
      </c>
      <c r="D430" s="1">
        <v>27</v>
      </c>
      <c r="E430" s="1">
        <v>25</v>
      </c>
      <c r="F430" s="1">
        <v>2</v>
      </c>
    </row>
    <row r="431" spans="1:6">
      <c r="A431" s="2">
        <v>45765</v>
      </c>
      <c r="B431" s="1" t="s">
        <v>8</v>
      </c>
      <c r="C431" s="1" t="s">
        <v>436</v>
      </c>
      <c r="D431" s="1">
        <v>74</v>
      </c>
      <c r="E431" s="1">
        <v>72</v>
      </c>
      <c r="F431" s="1">
        <v>2</v>
      </c>
    </row>
    <row r="432" spans="1:6">
      <c r="A432" s="2">
        <v>45765</v>
      </c>
      <c r="B432" s="1" t="s">
        <v>10</v>
      </c>
      <c r="C432" s="1" t="s">
        <v>437</v>
      </c>
      <c r="D432" s="1">
        <v>82</v>
      </c>
      <c r="E432" s="1">
        <v>79</v>
      </c>
      <c r="F432" s="1">
        <v>3</v>
      </c>
    </row>
    <row r="433" spans="1:6">
      <c r="A433" s="2">
        <v>45765</v>
      </c>
      <c r="B433" s="1" t="s">
        <v>12</v>
      </c>
      <c r="C433" s="1" t="s">
        <v>438</v>
      </c>
      <c r="D433" s="1">
        <v>29</v>
      </c>
      <c r="E433" s="1">
        <v>21</v>
      </c>
      <c r="F433" s="1">
        <v>8</v>
      </c>
    </row>
    <row r="434" spans="1:6">
      <c r="A434" s="2">
        <v>45766</v>
      </c>
      <c r="B434" s="1" t="s">
        <v>6</v>
      </c>
      <c r="C434" s="1" t="s">
        <v>439</v>
      </c>
      <c r="D434" s="1">
        <v>97</v>
      </c>
      <c r="E434" s="1">
        <v>71</v>
      </c>
      <c r="F434" s="1">
        <v>26</v>
      </c>
    </row>
    <row r="435" spans="1:6">
      <c r="A435" s="2">
        <v>45766</v>
      </c>
      <c r="B435" s="1" t="s">
        <v>8</v>
      </c>
      <c r="C435" s="1" t="s">
        <v>440</v>
      </c>
      <c r="D435" s="1">
        <v>36</v>
      </c>
      <c r="E435" s="1">
        <v>29</v>
      </c>
      <c r="F435" s="1">
        <v>7</v>
      </c>
    </row>
    <row r="436" spans="1:6">
      <c r="A436" s="2">
        <v>45766</v>
      </c>
      <c r="B436" s="1" t="s">
        <v>10</v>
      </c>
      <c r="C436" s="1" t="s">
        <v>441</v>
      </c>
      <c r="D436" s="1">
        <v>61</v>
      </c>
      <c r="E436" s="1">
        <v>54</v>
      </c>
      <c r="F436" s="1">
        <v>7</v>
      </c>
    </row>
    <row r="437" spans="1:6">
      <c r="A437" s="2">
        <v>45766</v>
      </c>
      <c r="B437" s="1" t="s">
        <v>12</v>
      </c>
      <c r="C437" s="1" t="s">
        <v>442</v>
      </c>
      <c r="D437" s="1">
        <v>57</v>
      </c>
      <c r="E437" s="1">
        <v>53</v>
      </c>
      <c r="F437" s="1">
        <v>4</v>
      </c>
    </row>
    <row r="438" spans="1:6">
      <c r="A438" s="2">
        <v>45767</v>
      </c>
      <c r="B438" s="1" t="s">
        <v>6</v>
      </c>
      <c r="C438" s="1" t="s">
        <v>443</v>
      </c>
      <c r="D438" s="1">
        <v>97</v>
      </c>
      <c r="E438" s="1">
        <v>80</v>
      </c>
      <c r="F438" s="1">
        <v>17</v>
      </c>
    </row>
    <row r="439" spans="1:6">
      <c r="A439" s="2">
        <v>45767</v>
      </c>
      <c r="B439" s="1" t="s">
        <v>8</v>
      </c>
      <c r="C439" s="1" t="s">
        <v>444</v>
      </c>
      <c r="D439" s="1">
        <v>34</v>
      </c>
      <c r="E439" s="1">
        <v>33</v>
      </c>
      <c r="F439" s="1">
        <v>1</v>
      </c>
    </row>
    <row r="440" spans="1:6">
      <c r="A440" s="2">
        <v>45767</v>
      </c>
      <c r="B440" s="1" t="s">
        <v>10</v>
      </c>
      <c r="C440" s="1" t="s">
        <v>445</v>
      </c>
      <c r="D440" s="1">
        <v>75</v>
      </c>
      <c r="E440" s="1">
        <v>66</v>
      </c>
      <c r="F440" s="1">
        <v>9</v>
      </c>
    </row>
    <row r="441" spans="1:6">
      <c r="A441" s="2">
        <v>45767</v>
      </c>
      <c r="B441" s="1" t="s">
        <v>12</v>
      </c>
      <c r="C441" s="1" t="s">
        <v>446</v>
      </c>
      <c r="D441" s="1">
        <v>72</v>
      </c>
      <c r="E441" s="1">
        <v>60</v>
      </c>
      <c r="F441" s="1">
        <v>12</v>
      </c>
    </row>
    <row r="442" spans="1:6">
      <c r="A442" s="2">
        <v>45768</v>
      </c>
      <c r="B442" s="1" t="s">
        <v>6</v>
      </c>
      <c r="C442" s="1" t="s">
        <v>447</v>
      </c>
      <c r="D442" s="1">
        <v>71</v>
      </c>
      <c r="E442" s="1">
        <v>62</v>
      </c>
      <c r="F442" s="1">
        <v>9</v>
      </c>
    </row>
    <row r="443" spans="1:6">
      <c r="A443" s="2">
        <v>45768</v>
      </c>
      <c r="B443" s="1" t="s">
        <v>8</v>
      </c>
      <c r="C443" s="1" t="s">
        <v>448</v>
      </c>
      <c r="D443" s="1">
        <v>60</v>
      </c>
      <c r="E443" s="1">
        <v>55</v>
      </c>
      <c r="F443" s="1">
        <v>5</v>
      </c>
    </row>
    <row r="444" spans="1:6">
      <c r="A444" s="2">
        <v>45768</v>
      </c>
      <c r="B444" s="1" t="s">
        <v>10</v>
      </c>
      <c r="C444" s="1" t="s">
        <v>449</v>
      </c>
      <c r="D444" s="1">
        <v>52</v>
      </c>
      <c r="E444" s="1">
        <v>47</v>
      </c>
      <c r="F444" s="1">
        <v>5</v>
      </c>
    </row>
    <row r="445" spans="1:6">
      <c r="A445" s="2">
        <v>45768</v>
      </c>
      <c r="B445" s="1" t="s">
        <v>12</v>
      </c>
      <c r="C445" s="1" t="s">
        <v>450</v>
      </c>
      <c r="D445" s="1">
        <v>80</v>
      </c>
      <c r="E445" s="1">
        <v>58</v>
      </c>
      <c r="F445" s="1">
        <v>22</v>
      </c>
    </row>
    <row r="446" spans="1:6">
      <c r="A446" s="2">
        <v>45769</v>
      </c>
      <c r="B446" s="1" t="s">
        <v>6</v>
      </c>
      <c r="C446" s="1" t="s">
        <v>451</v>
      </c>
      <c r="D446" s="1">
        <v>30</v>
      </c>
      <c r="E446" s="1">
        <v>22</v>
      </c>
      <c r="F446" s="1">
        <v>8</v>
      </c>
    </row>
    <row r="447" spans="1:6">
      <c r="A447" s="2">
        <v>45769</v>
      </c>
      <c r="B447" s="1" t="s">
        <v>8</v>
      </c>
      <c r="C447" s="1" t="s">
        <v>452</v>
      </c>
      <c r="D447" s="1">
        <v>32</v>
      </c>
      <c r="E447" s="1">
        <v>27</v>
      </c>
      <c r="F447" s="1">
        <v>5</v>
      </c>
    </row>
    <row r="448" spans="1:6">
      <c r="A448" s="2">
        <v>45769</v>
      </c>
      <c r="B448" s="1" t="s">
        <v>10</v>
      </c>
      <c r="C448" s="1" t="s">
        <v>453</v>
      </c>
      <c r="D448" s="1">
        <v>91</v>
      </c>
      <c r="E448" s="1">
        <v>64</v>
      </c>
      <c r="F448" s="1">
        <v>27</v>
      </c>
    </row>
    <row r="449" spans="1:6">
      <c r="A449" s="2">
        <v>45769</v>
      </c>
      <c r="B449" s="1" t="s">
        <v>12</v>
      </c>
      <c r="C449" s="1" t="s">
        <v>454</v>
      </c>
      <c r="D449" s="1">
        <v>35</v>
      </c>
      <c r="E449" s="1">
        <v>30</v>
      </c>
      <c r="F449" s="1">
        <v>5</v>
      </c>
    </row>
    <row r="450" spans="1:6">
      <c r="A450" s="2">
        <v>45770</v>
      </c>
      <c r="B450" s="1" t="s">
        <v>6</v>
      </c>
      <c r="C450" s="1" t="s">
        <v>455</v>
      </c>
      <c r="D450" s="1">
        <v>74</v>
      </c>
      <c r="E450" s="1">
        <v>74</v>
      </c>
      <c r="F450" s="1">
        <v>0</v>
      </c>
    </row>
    <row r="451" spans="1:6">
      <c r="A451" s="2">
        <v>45770</v>
      </c>
      <c r="B451" s="1" t="s">
        <v>8</v>
      </c>
      <c r="C451" s="1" t="s">
        <v>456</v>
      </c>
      <c r="D451" s="1">
        <v>56</v>
      </c>
      <c r="E451" s="1">
        <v>48</v>
      </c>
      <c r="F451" s="1">
        <v>8</v>
      </c>
    </row>
    <row r="452" spans="1:6">
      <c r="A452" s="2">
        <v>45770</v>
      </c>
      <c r="B452" s="1" t="s">
        <v>10</v>
      </c>
      <c r="C452" s="1" t="s">
        <v>457</v>
      </c>
      <c r="D452" s="1">
        <v>33</v>
      </c>
      <c r="E452" s="1">
        <v>32</v>
      </c>
      <c r="F452" s="1">
        <v>1</v>
      </c>
    </row>
    <row r="453" spans="1:6">
      <c r="A453" s="2">
        <v>45770</v>
      </c>
      <c r="B453" s="1" t="s">
        <v>12</v>
      </c>
      <c r="C453" s="1" t="s">
        <v>458</v>
      </c>
      <c r="D453" s="1">
        <v>47</v>
      </c>
      <c r="E453" s="1">
        <v>36</v>
      </c>
      <c r="F453" s="1">
        <v>11</v>
      </c>
    </row>
    <row r="454" spans="1:6">
      <c r="A454" s="2">
        <v>45771</v>
      </c>
      <c r="B454" s="1" t="s">
        <v>6</v>
      </c>
      <c r="C454" s="1" t="s">
        <v>459</v>
      </c>
      <c r="D454" s="1">
        <v>48</v>
      </c>
      <c r="E454" s="1">
        <v>36</v>
      </c>
      <c r="F454" s="1">
        <v>12</v>
      </c>
    </row>
    <row r="455" spans="1:6">
      <c r="A455" s="2">
        <v>45771</v>
      </c>
      <c r="B455" s="1" t="s">
        <v>8</v>
      </c>
      <c r="C455" s="1" t="s">
        <v>460</v>
      </c>
      <c r="D455" s="1">
        <v>91</v>
      </c>
      <c r="E455" s="1">
        <v>74</v>
      </c>
      <c r="F455" s="1">
        <v>17</v>
      </c>
    </row>
    <row r="456" spans="1:6">
      <c r="A456" s="2">
        <v>45771</v>
      </c>
      <c r="B456" s="1" t="s">
        <v>10</v>
      </c>
      <c r="C456" s="1" t="s">
        <v>461</v>
      </c>
      <c r="D456" s="1">
        <v>55</v>
      </c>
      <c r="E456" s="1">
        <v>45</v>
      </c>
      <c r="F456" s="1">
        <v>10</v>
      </c>
    </row>
    <row r="457" spans="1:6">
      <c r="A457" s="2">
        <v>45771</v>
      </c>
      <c r="B457" s="1" t="s">
        <v>12</v>
      </c>
      <c r="C457" s="1" t="s">
        <v>462</v>
      </c>
      <c r="D457" s="1">
        <v>91</v>
      </c>
      <c r="E457" s="1">
        <v>87</v>
      </c>
      <c r="F457" s="1">
        <v>4</v>
      </c>
    </row>
    <row r="458" spans="1:6">
      <c r="A458" s="2">
        <v>45772</v>
      </c>
      <c r="B458" s="1" t="s">
        <v>6</v>
      </c>
      <c r="C458" s="1" t="s">
        <v>463</v>
      </c>
      <c r="D458" s="1">
        <v>97</v>
      </c>
      <c r="E458" s="1">
        <v>96</v>
      </c>
      <c r="F458" s="1">
        <v>1</v>
      </c>
    </row>
    <row r="459" spans="1:6">
      <c r="A459" s="2">
        <v>45772</v>
      </c>
      <c r="B459" s="1" t="s">
        <v>8</v>
      </c>
      <c r="C459" s="1" t="s">
        <v>464</v>
      </c>
      <c r="D459" s="1">
        <v>23</v>
      </c>
      <c r="E459" s="1">
        <v>18</v>
      </c>
      <c r="F459" s="1">
        <v>5</v>
      </c>
    </row>
    <row r="460" spans="1:6">
      <c r="A460" s="2">
        <v>45772</v>
      </c>
      <c r="B460" s="1" t="s">
        <v>10</v>
      </c>
      <c r="C460" s="1" t="s">
        <v>465</v>
      </c>
      <c r="D460" s="1">
        <v>59</v>
      </c>
      <c r="E460" s="1">
        <v>51</v>
      </c>
      <c r="F460" s="1">
        <v>8</v>
      </c>
    </row>
    <row r="461" spans="1:6">
      <c r="A461" s="2">
        <v>45772</v>
      </c>
      <c r="B461" s="1" t="s">
        <v>12</v>
      </c>
      <c r="C461" s="1" t="s">
        <v>466</v>
      </c>
      <c r="D461" s="1">
        <v>20</v>
      </c>
      <c r="E461" s="1">
        <v>15</v>
      </c>
      <c r="F461" s="1">
        <v>5</v>
      </c>
    </row>
    <row r="462" spans="1:6">
      <c r="A462" s="2">
        <v>45773</v>
      </c>
      <c r="B462" s="1" t="s">
        <v>6</v>
      </c>
      <c r="C462" s="1" t="s">
        <v>467</v>
      </c>
      <c r="D462" s="1">
        <v>92</v>
      </c>
      <c r="E462" s="1">
        <v>85</v>
      </c>
      <c r="F462" s="1">
        <v>7</v>
      </c>
    </row>
    <row r="463" spans="1:6">
      <c r="A463" s="2">
        <v>45773</v>
      </c>
      <c r="B463" s="1" t="s">
        <v>8</v>
      </c>
      <c r="C463" s="1" t="s">
        <v>468</v>
      </c>
      <c r="D463" s="1">
        <v>28</v>
      </c>
      <c r="E463" s="1">
        <v>21</v>
      </c>
      <c r="F463" s="1">
        <v>7</v>
      </c>
    </row>
    <row r="464" spans="1:6">
      <c r="A464" s="2">
        <v>45773</v>
      </c>
      <c r="B464" s="1" t="s">
        <v>10</v>
      </c>
      <c r="C464" s="1" t="s">
        <v>469</v>
      </c>
      <c r="D464" s="1">
        <v>31</v>
      </c>
      <c r="E464" s="1">
        <v>29</v>
      </c>
      <c r="F464" s="1">
        <v>2</v>
      </c>
    </row>
    <row r="465" spans="1:6">
      <c r="A465" s="2">
        <v>45773</v>
      </c>
      <c r="B465" s="1" t="s">
        <v>12</v>
      </c>
      <c r="C465" s="1" t="s">
        <v>470</v>
      </c>
      <c r="D465" s="1">
        <v>68</v>
      </c>
      <c r="E465" s="1">
        <v>60</v>
      </c>
      <c r="F465" s="1">
        <v>8</v>
      </c>
    </row>
    <row r="466" spans="1:6">
      <c r="A466" s="2">
        <v>45774</v>
      </c>
      <c r="B466" s="1" t="s">
        <v>6</v>
      </c>
      <c r="C466" s="1" t="s">
        <v>471</v>
      </c>
      <c r="D466" s="1">
        <v>63</v>
      </c>
      <c r="E466" s="1">
        <v>49</v>
      </c>
      <c r="F466" s="1">
        <v>14</v>
      </c>
    </row>
    <row r="467" spans="1:6">
      <c r="A467" s="2">
        <v>45774</v>
      </c>
      <c r="B467" s="1" t="s">
        <v>8</v>
      </c>
      <c r="C467" s="1" t="s">
        <v>472</v>
      </c>
      <c r="D467" s="1">
        <v>59</v>
      </c>
      <c r="E467" s="1">
        <v>51</v>
      </c>
      <c r="F467" s="1">
        <v>8</v>
      </c>
    </row>
    <row r="468" spans="1:6">
      <c r="A468" s="2">
        <v>45774</v>
      </c>
      <c r="B468" s="1" t="s">
        <v>10</v>
      </c>
      <c r="C468" s="1" t="s">
        <v>473</v>
      </c>
      <c r="D468" s="1">
        <v>26</v>
      </c>
      <c r="E468" s="1">
        <v>20</v>
      </c>
      <c r="F468" s="1">
        <v>6</v>
      </c>
    </row>
    <row r="469" spans="1:6">
      <c r="A469" s="2">
        <v>45774</v>
      </c>
      <c r="B469" s="1" t="s">
        <v>12</v>
      </c>
      <c r="C469" s="1" t="s">
        <v>474</v>
      </c>
      <c r="D469" s="1">
        <v>99</v>
      </c>
      <c r="E469" s="1">
        <v>70</v>
      </c>
      <c r="F469" s="1">
        <v>29</v>
      </c>
    </row>
    <row r="470" spans="1:6">
      <c r="A470" s="2">
        <v>45775</v>
      </c>
      <c r="B470" s="1" t="s">
        <v>6</v>
      </c>
      <c r="C470" s="1" t="s">
        <v>475</v>
      </c>
      <c r="D470" s="1">
        <v>54</v>
      </c>
      <c r="E470" s="1">
        <v>51</v>
      </c>
      <c r="F470" s="1">
        <v>3</v>
      </c>
    </row>
    <row r="471" spans="1:6">
      <c r="A471" s="2">
        <v>45775</v>
      </c>
      <c r="B471" s="1" t="s">
        <v>8</v>
      </c>
      <c r="C471" s="1" t="s">
        <v>476</v>
      </c>
      <c r="D471" s="1">
        <v>82</v>
      </c>
      <c r="E471" s="1">
        <v>76</v>
      </c>
      <c r="F471" s="1">
        <v>6</v>
      </c>
    </row>
    <row r="472" spans="1:6">
      <c r="A472" s="2">
        <v>45775</v>
      </c>
      <c r="B472" s="1" t="s">
        <v>10</v>
      </c>
      <c r="C472" s="1" t="s">
        <v>477</v>
      </c>
      <c r="D472" s="1">
        <v>73</v>
      </c>
      <c r="E472" s="1">
        <v>59</v>
      </c>
      <c r="F472" s="1">
        <v>14</v>
      </c>
    </row>
    <row r="473" spans="1:6">
      <c r="A473" s="2">
        <v>45775</v>
      </c>
      <c r="B473" s="1" t="s">
        <v>12</v>
      </c>
      <c r="C473" s="1" t="s">
        <v>478</v>
      </c>
      <c r="D473" s="1">
        <v>85</v>
      </c>
      <c r="E473" s="1">
        <v>62</v>
      </c>
      <c r="F473" s="1">
        <v>23</v>
      </c>
    </row>
    <row r="474" spans="1:6">
      <c r="A474" s="2">
        <v>45776</v>
      </c>
      <c r="B474" s="1" t="s">
        <v>6</v>
      </c>
      <c r="C474" s="1" t="s">
        <v>479</v>
      </c>
      <c r="D474" s="1">
        <v>75</v>
      </c>
      <c r="E474" s="1">
        <v>55</v>
      </c>
      <c r="F474" s="1">
        <v>20</v>
      </c>
    </row>
    <row r="475" spans="1:6">
      <c r="A475" s="2">
        <v>45776</v>
      </c>
      <c r="B475" s="1" t="s">
        <v>8</v>
      </c>
      <c r="C475" s="1" t="s">
        <v>480</v>
      </c>
      <c r="D475" s="1">
        <v>95</v>
      </c>
      <c r="E475" s="1">
        <v>81</v>
      </c>
      <c r="F475" s="1">
        <v>14</v>
      </c>
    </row>
    <row r="476" spans="1:6">
      <c r="A476" s="2">
        <v>45776</v>
      </c>
      <c r="B476" s="1" t="s">
        <v>10</v>
      </c>
      <c r="C476" s="1" t="s">
        <v>481</v>
      </c>
      <c r="D476" s="1">
        <v>59</v>
      </c>
      <c r="E476" s="1">
        <v>42</v>
      </c>
      <c r="F476" s="1">
        <v>17</v>
      </c>
    </row>
    <row r="477" spans="1:6">
      <c r="A477" s="2">
        <v>45776</v>
      </c>
      <c r="B477" s="1" t="s">
        <v>12</v>
      </c>
      <c r="C477" s="1" t="s">
        <v>482</v>
      </c>
      <c r="D477" s="1">
        <v>70</v>
      </c>
      <c r="E477" s="1">
        <v>68</v>
      </c>
      <c r="F477" s="1">
        <v>2</v>
      </c>
    </row>
    <row r="478" spans="1:6">
      <c r="A478" s="2">
        <v>45777</v>
      </c>
      <c r="B478" s="1" t="s">
        <v>6</v>
      </c>
      <c r="C478" s="1" t="s">
        <v>483</v>
      </c>
      <c r="D478" s="1">
        <v>20</v>
      </c>
      <c r="E478" s="1">
        <v>15</v>
      </c>
      <c r="F478" s="1">
        <v>5</v>
      </c>
    </row>
    <row r="479" spans="1:6">
      <c r="A479" s="2">
        <v>45777</v>
      </c>
      <c r="B479" s="1" t="s">
        <v>8</v>
      </c>
      <c r="C479" s="1" t="s">
        <v>484</v>
      </c>
      <c r="D479" s="1">
        <v>47</v>
      </c>
      <c r="E479" s="1">
        <v>36</v>
      </c>
      <c r="F479" s="1">
        <v>11</v>
      </c>
    </row>
    <row r="480" spans="1:6">
      <c r="A480" s="2">
        <v>45777</v>
      </c>
      <c r="B480" s="1" t="s">
        <v>10</v>
      </c>
      <c r="C480" s="1" t="s">
        <v>485</v>
      </c>
      <c r="D480" s="1">
        <v>57</v>
      </c>
      <c r="E480" s="1">
        <v>49</v>
      </c>
      <c r="F480" s="1">
        <v>8</v>
      </c>
    </row>
    <row r="481" spans="1:6">
      <c r="A481" s="2">
        <v>45777</v>
      </c>
      <c r="B481" s="1" t="s">
        <v>12</v>
      </c>
      <c r="C481" s="1" t="s">
        <v>486</v>
      </c>
      <c r="D481" s="1">
        <v>20</v>
      </c>
      <c r="E481" s="1">
        <v>17</v>
      </c>
      <c r="F481" s="1">
        <v>3</v>
      </c>
    </row>
    <row r="482" spans="1:6">
      <c r="A482" s="2">
        <v>45778</v>
      </c>
      <c r="B482" s="1" t="s">
        <v>6</v>
      </c>
      <c r="C482" s="1" t="s">
        <v>487</v>
      </c>
      <c r="D482" s="1">
        <v>42</v>
      </c>
      <c r="E482" s="1">
        <v>31</v>
      </c>
      <c r="F482" s="1">
        <v>11</v>
      </c>
    </row>
    <row r="483" spans="1:6">
      <c r="A483" s="2">
        <v>45778</v>
      </c>
      <c r="B483" s="1" t="s">
        <v>8</v>
      </c>
      <c r="C483" s="1" t="s">
        <v>488</v>
      </c>
      <c r="D483" s="1">
        <v>88</v>
      </c>
      <c r="E483" s="1">
        <v>83</v>
      </c>
      <c r="F483" s="1">
        <v>5</v>
      </c>
    </row>
    <row r="484" spans="1:6">
      <c r="A484" s="2">
        <v>45778</v>
      </c>
      <c r="B484" s="1" t="s">
        <v>10</v>
      </c>
      <c r="C484" s="1" t="s">
        <v>76</v>
      </c>
      <c r="D484" s="1">
        <v>84</v>
      </c>
      <c r="E484" s="1">
        <v>75</v>
      </c>
      <c r="F484" s="1">
        <v>9</v>
      </c>
    </row>
    <row r="485" spans="1:6">
      <c r="A485" s="2">
        <v>45778</v>
      </c>
      <c r="B485" s="1" t="s">
        <v>12</v>
      </c>
      <c r="C485" s="1" t="s">
        <v>489</v>
      </c>
      <c r="D485" s="1">
        <v>29</v>
      </c>
      <c r="E485" s="1">
        <v>26</v>
      </c>
      <c r="F485" s="1">
        <v>3</v>
      </c>
    </row>
    <row r="486" spans="1:6">
      <c r="A486" s="2">
        <v>45779</v>
      </c>
      <c r="B486" s="1" t="s">
        <v>6</v>
      </c>
      <c r="C486" s="1" t="s">
        <v>490</v>
      </c>
      <c r="D486" s="1">
        <v>75</v>
      </c>
      <c r="E486" s="1">
        <v>52</v>
      </c>
      <c r="F486" s="1">
        <v>23</v>
      </c>
    </row>
    <row r="487" spans="1:6">
      <c r="A487" s="2">
        <v>45779</v>
      </c>
      <c r="B487" s="1" t="s">
        <v>8</v>
      </c>
      <c r="C487" s="1" t="s">
        <v>491</v>
      </c>
      <c r="D487" s="1">
        <v>29</v>
      </c>
      <c r="E487" s="1">
        <v>25</v>
      </c>
      <c r="F487" s="1">
        <v>4</v>
      </c>
    </row>
    <row r="488" spans="1:6">
      <c r="A488" s="2">
        <v>45779</v>
      </c>
      <c r="B488" s="1" t="s">
        <v>10</v>
      </c>
      <c r="C488" s="1" t="s">
        <v>492</v>
      </c>
      <c r="D488" s="1">
        <v>93</v>
      </c>
      <c r="E488" s="1">
        <v>77</v>
      </c>
      <c r="F488" s="1">
        <v>16</v>
      </c>
    </row>
    <row r="489" spans="1:6">
      <c r="A489" s="2">
        <v>45779</v>
      </c>
      <c r="B489" s="1" t="s">
        <v>12</v>
      </c>
      <c r="C489" s="1" t="s">
        <v>493</v>
      </c>
      <c r="D489" s="1">
        <v>57</v>
      </c>
      <c r="E489" s="1">
        <v>42</v>
      </c>
      <c r="F489" s="1">
        <v>15</v>
      </c>
    </row>
    <row r="490" spans="1:6">
      <c r="A490" s="2">
        <v>45780</v>
      </c>
      <c r="B490" s="1" t="s">
        <v>6</v>
      </c>
      <c r="C490" s="1" t="s">
        <v>494</v>
      </c>
      <c r="D490" s="1">
        <v>22</v>
      </c>
      <c r="E490" s="1">
        <v>20</v>
      </c>
      <c r="F490" s="1">
        <v>2</v>
      </c>
    </row>
    <row r="491" spans="1:6">
      <c r="A491" s="2">
        <v>45780</v>
      </c>
      <c r="B491" s="1" t="s">
        <v>8</v>
      </c>
      <c r="C491" s="1" t="s">
        <v>495</v>
      </c>
      <c r="D491" s="1">
        <v>99</v>
      </c>
      <c r="E491" s="1">
        <v>83</v>
      </c>
      <c r="F491" s="1">
        <v>16</v>
      </c>
    </row>
    <row r="492" spans="1:6">
      <c r="A492" s="2">
        <v>45780</v>
      </c>
      <c r="B492" s="1" t="s">
        <v>10</v>
      </c>
      <c r="C492" s="1" t="s">
        <v>496</v>
      </c>
      <c r="D492" s="1">
        <v>31</v>
      </c>
      <c r="E492" s="1">
        <v>27</v>
      </c>
      <c r="F492" s="1">
        <v>4</v>
      </c>
    </row>
    <row r="493" spans="1:6">
      <c r="A493" s="2">
        <v>45780</v>
      </c>
      <c r="B493" s="1" t="s">
        <v>12</v>
      </c>
      <c r="C493" s="1" t="s">
        <v>497</v>
      </c>
      <c r="D493" s="1">
        <v>51</v>
      </c>
      <c r="E493" s="1">
        <v>48</v>
      </c>
      <c r="F493" s="1">
        <v>3</v>
      </c>
    </row>
    <row r="494" spans="1:6">
      <c r="A494" s="2">
        <v>45781</v>
      </c>
      <c r="B494" s="1" t="s">
        <v>6</v>
      </c>
      <c r="C494" s="1" t="s">
        <v>498</v>
      </c>
      <c r="D494" s="1">
        <v>87</v>
      </c>
      <c r="E494" s="1">
        <v>62</v>
      </c>
      <c r="F494" s="1">
        <v>25</v>
      </c>
    </row>
    <row r="495" spans="1:6">
      <c r="A495" s="2">
        <v>45781</v>
      </c>
      <c r="B495" s="1" t="s">
        <v>8</v>
      </c>
      <c r="C495" s="1" t="s">
        <v>499</v>
      </c>
      <c r="D495" s="1">
        <v>59</v>
      </c>
      <c r="E495" s="1">
        <v>51</v>
      </c>
      <c r="F495" s="1">
        <v>8</v>
      </c>
    </row>
    <row r="496" spans="1:6">
      <c r="A496" s="2">
        <v>45781</v>
      </c>
      <c r="B496" s="1" t="s">
        <v>10</v>
      </c>
      <c r="C496" s="1" t="s">
        <v>500</v>
      </c>
      <c r="D496" s="1">
        <v>62</v>
      </c>
      <c r="E496" s="1">
        <v>48</v>
      </c>
      <c r="F496" s="1">
        <v>14</v>
      </c>
    </row>
    <row r="497" spans="1:6">
      <c r="A497" s="2">
        <v>45781</v>
      </c>
      <c r="B497" s="1" t="s">
        <v>12</v>
      </c>
      <c r="C497" s="1" t="s">
        <v>501</v>
      </c>
      <c r="D497" s="1">
        <v>85</v>
      </c>
      <c r="E497" s="1">
        <v>79</v>
      </c>
      <c r="F497" s="1">
        <v>6</v>
      </c>
    </row>
    <row r="498" spans="1:6">
      <c r="A498" s="2">
        <v>45782</v>
      </c>
      <c r="B498" s="1" t="s">
        <v>6</v>
      </c>
      <c r="C498" s="1" t="s">
        <v>502</v>
      </c>
      <c r="D498" s="1">
        <v>87</v>
      </c>
      <c r="E498" s="1">
        <v>76</v>
      </c>
      <c r="F498" s="1">
        <v>11</v>
      </c>
    </row>
    <row r="499" spans="1:6">
      <c r="A499" s="2">
        <v>45782</v>
      </c>
      <c r="B499" s="1" t="s">
        <v>8</v>
      </c>
      <c r="C499" s="1" t="s">
        <v>503</v>
      </c>
      <c r="D499" s="1">
        <v>64</v>
      </c>
      <c r="E499" s="1">
        <v>55</v>
      </c>
      <c r="F499" s="1">
        <v>9</v>
      </c>
    </row>
    <row r="500" spans="1:6">
      <c r="A500" s="2">
        <v>45782</v>
      </c>
      <c r="B500" s="1" t="s">
        <v>10</v>
      </c>
      <c r="C500" s="1" t="s">
        <v>504</v>
      </c>
      <c r="D500" s="1">
        <v>50</v>
      </c>
      <c r="E500" s="1">
        <v>38</v>
      </c>
      <c r="F500" s="1">
        <v>12</v>
      </c>
    </row>
    <row r="501" spans="1:6">
      <c r="A501" s="2">
        <v>45782</v>
      </c>
      <c r="B501" s="1" t="s">
        <v>12</v>
      </c>
      <c r="C501" s="1" t="s">
        <v>505</v>
      </c>
      <c r="D501" s="1">
        <v>52</v>
      </c>
      <c r="E501" s="1">
        <v>42</v>
      </c>
      <c r="F501" s="1">
        <v>10</v>
      </c>
    </row>
    <row r="502" spans="1:6">
      <c r="A502" s="2">
        <v>45783</v>
      </c>
      <c r="B502" s="1" t="s">
        <v>6</v>
      </c>
      <c r="C502" s="1" t="s">
        <v>506</v>
      </c>
      <c r="D502" s="1">
        <v>97</v>
      </c>
      <c r="E502" s="1">
        <v>71</v>
      </c>
      <c r="F502" s="1">
        <v>26</v>
      </c>
    </row>
    <row r="503" spans="1:6">
      <c r="A503" s="2">
        <v>45783</v>
      </c>
      <c r="B503" s="1" t="s">
        <v>8</v>
      </c>
      <c r="C503" s="1" t="s">
        <v>507</v>
      </c>
      <c r="D503" s="1">
        <v>42</v>
      </c>
      <c r="E503" s="1">
        <v>41</v>
      </c>
      <c r="F503" s="1">
        <v>1</v>
      </c>
    </row>
    <row r="504" spans="1:6">
      <c r="A504" s="2">
        <v>45783</v>
      </c>
      <c r="B504" s="1" t="s">
        <v>10</v>
      </c>
      <c r="C504" s="1" t="s">
        <v>508</v>
      </c>
      <c r="D504" s="1">
        <v>79</v>
      </c>
      <c r="E504" s="1">
        <v>79</v>
      </c>
      <c r="F504" s="1">
        <v>0</v>
      </c>
    </row>
    <row r="505" spans="1:6">
      <c r="A505" s="2">
        <v>45783</v>
      </c>
      <c r="B505" s="1" t="s">
        <v>12</v>
      </c>
      <c r="C505" s="1" t="s">
        <v>509</v>
      </c>
      <c r="D505" s="1">
        <v>92</v>
      </c>
      <c r="E505" s="1">
        <v>84</v>
      </c>
      <c r="F505" s="1">
        <v>8</v>
      </c>
    </row>
    <row r="506" spans="1:6">
      <c r="A506" s="2">
        <v>45784</v>
      </c>
      <c r="B506" s="1" t="s">
        <v>6</v>
      </c>
      <c r="C506" s="1" t="s">
        <v>510</v>
      </c>
      <c r="D506" s="1">
        <v>100</v>
      </c>
      <c r="E506" s="1">
        <v>80</v>
      </c>
      <c r="F506" s="1">
        <v>20</v>
      </c>
    </row>
    <row r="507" spans="1:6">
      <c r="A507" s="2">
        <v>45784</v>
      </c>
      <c r="B507" s="1" t="s">
        <v>8</v>
      </c>
      <c r="C507" s="1" t="s">
        <v>511</v>
      </c>
      <c r="D507" s="1">
        <v>76</v>
      </c>
      <c r="E507" s="1">
        <v>55</v>
      </c>
      <c r="F507" s="1">
        <v>21</v>
      </c>
    </row>
    <row r="508" spans="1:6">
      <c r="A508" s="2">
        <v>45784</v>
      </c>
      <c r="B508" s="1" t="s">
        <v>10</v>
      </c>
      <c r="C508" s="1" t="s">
        <v>512</v>
      </c>
      <c r="D508" s="1">
        <v>76</v>
      </c>
      <c r="E508" s="1">
        <v>73</v>
      </c>
      <c r="F508" s="1">
        <v>3</v>
      </c>
    </row>
    <row r="509" spans="1:6">
      <c r="A509" s="2">
        <v>45784</v>
      </c>
      <c r="B509" s="1" t="s">
        <v>12</v>
      </c>
      <c r="C509" s="1" t="s">
        <v>513</v>
      </c>
      <c r="D509" s="1">
        <v>55</v>
      </c>
      <c r="E509" s="1">
        <v>39</v>
      </c>
      <c r="F509" s="1">
        <v>16</v>
      </c>
    </row>
    <row r="510" spans="1:6">
      <c r="A510" s="2">
        <v>45785</v>
      </c>
      <c r="B510" s="1" t="s">
        <v>6</v>
      </c>
      <c r="C510" s="1" t="s">
        <v>514</v>
      </c>
      <c r="D510" s="1">
        <v>84</v>
      </c>
      <c r="E510" s="1">
        <v>60</v>
      </c>
      <c r="F510" s="1">
        <v>24</v>
      </c>
    </row>
    <row r="511" spans="1:6">
      <c r="A511" s="2">
        <v>45785</v>
      </c>
      <c r="B511" s="1" t="s">
        <v>8</v>
      </c>
      <c r="C511" s="1" t="s">
        <v>515</v>
      </c>
      <c r="D511" s="1">
        <v>79</v>
      </c>
      <c r="E511" s="1">
        <v>69</v>
      </c>
      <c r="F511" s="1">
        <v>10</v>
      </c>
    </row>
    <row r="512" spans="1:6">
      <c r="A512" s="2">
        <v>45785</v>
      </c>
      <c r="B512" s="1" t="s">
        <v>10</v>
      </c>
      <c r="C512" s="1" t="s">
        <v>516</v>
      </c>
      <c r="D512" s="1">
        <v>27</v>
      </c>
      <c r="E512" s="1">
        <v>23</v>
      </c>
      <c r="F512" s="1">
        <v>4</v>
      </c>
    </row>
    <row r="513" spans="1:6">
      <c r="A513" s="2">
        <v>45785</v>
      </c>
      <c r="B513" s="1" t="s">
        <v>12</v>
      </c>
      <c r="C513" s="1" t="s">
        <v>517</v>
      </c>
      <c r="D513" s="1">
        <v>29</v>
      </c>
      <c r="E513" s="1">
        <v>21</v>
      </c>
      <c r="F513" s="1">
        <v>8</v>
      </c>
    </row>
    <row r="514" spans="1:6">
      <c r="A514" s="2">
        <v>45786</v>
      </c>
      <c r="B514" s="1" t="s">
        <v>6</v>
      </c>
      <c r="C514" s="1" t="s">
        <v>518</v>
      </c>
      <c r="D514" s="1">
        <v>69</v>
      </c>
      <c r="E514" s="1">
        <v>62</v>
      </c>
      <c r="F514" s="1">
        <v>7</v>
      </c>
    </row>
    <row r="515" spans="1:6">
      <c r="A515" s="2">
        <v>45786</v>
      </c>
      <c r="B515" s="1" t="s">
        <v>8</v>
      </c>
      <c r="C515" s="1" t="s">
        <v>233</v>
      </c>
      <c r="D515" s="1">
        <v>77</v>
      </c>
      <c r="E515" s="1">
        <v>71</v>
      </c>
      <c r="F515" s="1">
        <v>6</v>
      </c>
    </row>
    <row r="516" spans="1:6">
      <c r="A516" s="2">
        <v>45786</v>
      </c>
      <c r="B516" s="1" t="s">
        <v>10</v>
      </c>
      <c r="C516" s="1" t="s">
        <v>519</v>
      </c>
      <c r="D516" s="1">
        <v>61</v>
      </c>
      <c r="E516" s="1">
        <v>61</v>
      </c>
      <c r="F516" s="1">
        <v>0</v>
      </c>
    </row>
    <row r="517" spans="1:6">
      <c r="A517" s="2">
        <v>45786</v>
      </c>
      <c r="B517" s="1" t="s">
        <v>12</v>
      </c>
      <c r="C517" s="1" t="s">
        <v>520</v>
      </c>
      <c r="D517" s="1">
        <v>84</v>
      </c>
      <c r="E517" s="1">
        <v>62</v>
      </c>
      <c r="F517" s="1">
        <v>22</v>
      </c>
    </row>
    <row r="518" spans="1:6">
      <c r="A518" s="2">
        <v>45787</v>
      </c>
      <c r="B518" s="1" t="s">
        <v>6</v>
      </c>
      <c r="C518" s="1" t="s">
        <v>521</v>
      </c>
      <c r="D518" s="1">
        <v>77</v>
      </c>
      <c r="E518" s="1">
        <v>56</v>
      </c>
      <c r="F518" s="1">
        <v>21</v>
      </c>
    </row>
    <row r="519" spans="1:6">
      <c r="A519" s="2">
        <v>45787</v>
      </c>
      <c r="B519" s="1" t="s">
        <v>8</v>
      </c>
      <c r="C519" s="1" t="s">
        <v>522</v>
      </c>
      <c r="D519" s="1">
        <v>30</v>
      </c>
      <c r="E519" s="1">
        <v>29</v>
      </c>
      <c r="F519" s="1">
        <v>1</v>
      </c>
    </row>
    <row r="520" spans="1:6">
      <c r="A520" s="2">
        <v>45787</v>
      </c>
      <c r="B520" s="1" t="s">
        <v>10</v>
      </c>
      <c r="C520" s="1" t="s">
        <v>523</v>
      </c>
      <c r="D520" s="1">
        <v>25</v>
      </c>
      <c r="E520" s="1">
        <v>20</v>
      </c>
      <c r="F520" s="1">
        <v>5</v>
      </c>
    </row>
    <row r="521" spans="1:6">
      <c r="A521" s="2">
        <v>45787</v>
      </c>
      <c r="B521" s="1" t="s">
        <v>12</v>
      </c>
      <c r="C521" s="1" t="s">
        <v>524</v>
      </c>
      <c r="D521" s="1">
        <v>76</v>
      </c>
      <c r="E521" s="1">
        <v>69</v>
      </c>
      <c r="F521" s="1">
        <v>7</v>
      </c>
    </row>
    <row r="522" spans="1:6">
      <c r="A522" s="2">
        <v>45788</v>
      </c>
      <c r="B522" s="1" t="s">
        <v>6</v>
      </c>
      <c r="C522" s="1" t="s">
        <v>525</v>
      </c>
      <c r="D522" s="1">
        <v>98</v>
      </c>
      <c r="E522" s="1">
        <v>73</v>
      </c>
      <c r="F522" s="1">
        <v>25</v>
      </c>
    </row>
    <row r="523" spans="1:6">
      <c r="A523" s="2">
        <v>45788</v>
      </c>
      <c r="B523" s="1" t="s">
        <v>8</v>
      </c>
      <c r="C523" s="1" t="s">
        <v>526</v>
      </c>
      <c r="D523" s="1">
        <v>67</v>
      </c>
      <c r="E523" s="1">
        <v>55</v>
      </c>
      <c r="F523" s="1">
        <v>12</v>
      </c>
    </row>
    <row r="524" spans="1:6">
      <c r="A524" s="2">
        <v>45788</v>
      </c>
      <c r="B524" s="1" t="s">
        <v>10</v>
      </c>
      <c r="C524" s="1" t="s">
        <v>527</v>
      </c>
      <c r="D524" s="1">
        <v>72</v>
      </c>
      <c r="E524" s="1">
        <v>60</v>
      </c>
      <c r="F524" s="1">
        <v>12</v>
      </c>
    </row>
    <row r="525" spans="1:6">
      <c r="A525" s="2">
        <v>45788</v>
      </c>
      <c r="B525" s="1" t="s">
        <v>12</v>
      </c>
      <c r="C525" s="1" t="s">
        <v>528</v>
      </c>
      <c r="D525" s="1">
        <v>100</v>
      </c>
      <c r="E525" s="1">
        <v>90</v>
      </c>
      <c r="F525" s="1">
        <v>10</v>
      </c>
    </row>
    <row r="526" spans="1:6">
      <c r="A526" s="2">
        <v>45789</v>
      </c>
      <c r="B526" s="1" t="s">
        <v>6</v>
      </c>
      <c r="C526" s="1" t="s">
        <v>529</v>
      </c>
      <c r="D526" s="1">
        <v>28</v>
      </c>
      <c r="E526" s="1">
        <v>24</v>
      </c>
      <c r="F526" s="1">
        <v>4</v>
      </c>
    </row>
    <row r="527" spans="1:6">
      <c r="A527" s="2">
        <v>45789</v>
      </c>
      <c r="B527" s="1" t="s">
        <v>8</v>
      </c>
      <c r="C527" s="1" t="s">
        <v>530</v>
      </c>
      <c r="D527" s="1">
        <v>91</v>
      </c>
      <c r="E527" s="1">
        <v>84</v>
      </c>
      <c r="F527" s="1">
        <v>7</v>
      </c>
    </row>
    <row r="528" spans="1:6">
      <c r="A528" s="2">
        <v>45789</v>
      </c>
      <c r="B528" s="1" t="s">
        <v>10</v>
      </c>
      <c r="C528" s="1" t="s">
        <v>531</v>
      </c>
      <c r="D528" s="1">
        <v>56</v>
      </c>
      <c r="E528" s="1">
        <v>47</v>
      </c>
      <c r="F528" s="1">
        <v>9</v>
      </c>
    </row>
    <row r="529" spans="1:6">
      <c r="A529" s="2">
        <v>45789</v>
      </c>
      <c r="B529" s="1" t="s">
        <v>12</v>
      </c>
      <c r="C529" s="1" t="s">
        <v>532</v>
      </c>
      <c r="D529" s="1">
        <v>62</v>
      </c>
      <c r="E529" s="1">
        <v>45</v>
      </c>
      <c r="F529" s="1">
        <v>17</v>
      </c>
    </row>
    <row r="530" spans="1:6">
      <c r="A530" s="2">
        <v>45790</v>
      </c>
      <c r="B530" s="1" t="s">
        <v>6</v>
      </c>
      <c r="C530" s="1" t="s">
        <v>533</v>
      </c>
      <c r="D530" s="1">
        <v>64</v>
      </c>
      <c r="E530" s="1">
        <v>53</v>
      </c>
      <c r="F530" s="1">
        <v>11</v>
      </c>
    </row>
    <row r="531" spans="1:6">
      <c r="A531" s="2">
        <v>45790</v>
      </c>
      <c r="B531" s="1" t="s">
        <v>8</v>
      </c>
      <c r="C531" s="1" t="s">
        <v>534</v>
      </c>
      <c r="D531" s="1">
        <v>36</v>
      </c>
      <c r="E531" s="1">
        <v>34</v>
      </c>
      <c r="F531" s="1">
        <v>2</v>
      </c>
    </row>
    <row r="532" spans="1:6">
      <c r="A532" s="2">
        <v>45790</v>
      </c>
      <c r="B532" s="1" t="s">
        <v>10</v>
      </c>
      <c r="C532" s="1" t="s">
        <v>535</v>
      </c>
      <c r="D532" s="1">
        <v>59</v>
      </c>
      <c r="E532" s="1">
        <v>58</v>
      </c>
      <c r="F532" s="1">
        <v>1</v>
      </c>
    </row>
    <row r="533" spans="1:6">
      <c r="A533" s="2">
        <v>45790</v>
      </c>
      <c r="B533" s="1" t="s">
        <v>12</v>
      </c>
      <c r="C533" s="1" t="s">
        <v>536</v>
      </c>
      <c r="D533" s="1">
        <v>62</v>
      </c>
      <c r="E533" s="1">
        <v>47</v>
      </c>
      <c r="F533" s="1">
        <v>15</v>
      </c>
    </row>
    <row r="534" spans="1:6">
      <c r="A534" s="2">
        <v>45791</v>
      </c>
      <c r="B534" s="1" t="s">
        <v>6</v>
      </c>
      <c r="C534" s="1" t="s">
        <v>537</v>
      </c>
      <c r="D534" s="1">
        <v>31</v>
      </c>
      <c r="E534" s="1">
        <v>31</v>
      </c>
      <c r="F534" s="1">
        <v>0</v>
      </c>
    </row>
    <row r="535" spans="1:6">
      <c r="A535" s="2">
        <v>45791</v>
      </c>
      <c r="B535" s="1" t="s">
        <v>8</v>
      </c>
      <c r="C535" s="1" t="s">
        <v>538</v>
      </c>
      <c r="D535" s="1">
        <v>85</v>
      </c>
      <c r="E535" s="1">
        <v>70</v>
      </c>
      <c r="F535" s="1">
        <v>15</v>
      </c>
    </row>
    <row r="536" spans="1:6">
      <c r="A536" s="2">
        <v>45791</v>
      </c>
      <c r="B536" s="1" t="s">
        <v>10</v>
      </c>
      <c r="C536" s="1" t="s">
        <v>539</v>
      </c>
      <c r="D536" s="1">
        <v>66</v>
      </c>
      <c r="E536" s="1">
        <v>55</v>
      </c>
      <c r="F536" s="1">
        <v>11</v>
      </c>
    </row>
    <row r="537" spans="1:6">
      <c r="A537" s="2">
        <v>45791</v>
      </c>
      <c r="B537" s="1" t="s">
        <v>12</v>
      </c>
      <c r="C537" s="1" t="s">
        <v>540</v>
      </c>
      <c r="D537" s="1">
        <v>47</v>
      </c>
      <c r="E537" s="1">
        <v>42</v>
      </c>
      <c r="F537" s="1">
        <v>5</v>
      </c>
    </row>
    <row r="538" spans="1:6">
      <c r="A538" s="2">
        <v>45792</v>
      </c>
      <c r="B538" s="1" t="s">
        <v>6</v>
      </c>
      <c r="C538" s="1" t="s">
        <v>541</v>
      </c>
      <c r="D538" s="1">
        <v>44</v>
      </c>
      <c r="E538" s="1">
        <v>33</v>
      </c>
      <c r="F538" s="1">
        <v>11</v>
      </c>
    </row>
    <row r="539" spans="1:6">
      <c r="A539" s="2">
        <v>45792</v>
      </c>
      <c r="B539" s="1" t="s">
        <v>8</v>
      </c>
      <c r="C539" s="1" t="s">
        <v>542</v>
      </c>
      <c r="D539" s="1">
        <v>39</v>
      </c>
      <c r="E539" s="1">
        <v>28</v>
      </c>
      <c r="F539" s="1">
        <v>11</v>
      </c>
    </row>
    <row r="540" spans="1:6">
      <c r="A540" s="2">
        <v>45792</v>
      </c>
      <c r="B540" s="1" t="s">
        <v>10</v>
      </c>
      <c r="C540" s="1" t="s">
        <v>543</v>
      </c>
      <c r="D540" s="1">
        <v>32</v>
      </c>
      <c r="E540" s="1">
        <v>30</v>
      </c>
      <c r="F540" s="1">
        <v>2</v>
      </c>
    </row>
    <row r="541" spans="1:6">
      <c r="A541" s="2">
        <v>45792</v>
      </c>
      <c r="B541" s="1" t="s">
        <v>12</v>
      </c>
      <c r="C541" s="1" t="s">
        <v>544</v>
      </c>
      <c r="D541" s="1">
        <v>87</v>
      </c>
      <c r="E541" s="1">
        <v>61</v>
      </c>
      <c r="F541" s="1">
        <v>26</v>
      </c>
    </row>
    <row r="542" spans="1:6">
      <c r="A542" s="2">
        <v>45793</v>
      </c>
      <c r="B542" s="1" t="s">
        <v>6</v>
      </c>
      <c r="C542" s="1" t="s">
        <v>545</v>
      </c>
      <c r="D542" s="1">
        <v>99</v>
      </c>
      <c r="E542" s="1">
        <v>73</v>
      </c>
      <c r="F542" s="1">
        <v>26</v>
      </c>
    </row>
    <row r="543" spans="1:6">
      <c r="A543" s="2">
        <v>45793</v>
      </c>
      <c r="B543" s="1" t="s">
        <v>8</v>
      </c>
      <c r="C543" s="1" t="s">
        <v>546</v>
      </c>
      <c r="D543" s="1">
        <v>39</v>
      </c>
      <c r="E543" s="1">
        <v>29</v>
      </c>
      <c r="F543" s="1">
        <v>10</v>
      </c>
    </row>
    <row r="544" spans="1:6">
      <c r="A544" s="2">
        <v>45793</v>
      </c>
      <c r="B544" s="1" t="s">
        <v>10</v>
      </c>
      <c r="C544" s="1" t="s">
        <v>547</v>
      </c>
      <c r="D544" s="1">
        <v>99</v>
      </c>
      <c r="E544" s="1">
        <v>94</v>
      </c>
      <c r="F544" s="1">
        <v>5</v>
      </c>
    </row>
    <row r="545" spans="1:6">
      <c r="A545" s="2">
        <v>45793</v>
      </c>
      <c r="B545" s="1" t="s">
        <v>12</v>
      </c>
      <c r="C545" s="1" t="s">
        <v>548</v>
      </c>
      <c r="D545" s="1">
        <v>76</v>
      </c>
      <c r="E545" s="1">
        <v>54</v>
      </c>
      <c r="F545" s="1">
        <v>22</v>
      </c>
    </row>
    <row r="546" spans="1:6">
      <c r="A546" s="2">
        <v>45794</v>
      </c>
      <c r="B546" s="1" t="s">
        <v>6</v>
      </c>
      <c r="C546" s="1" t="s">
        <v>549</v>
      </c>
      <c r="D546" s="1">
        <v>66</v>
      </c>
      <c r="E546" s="1">
        <v>53</v>
      </c>
      <c r="F546" s="1">
        <v>13</v>
      </c>
    </row>
    <row r="547" spans="1:6">
      <c r="A547" s="2">
        <v>45794</v>
      </c>
      <c r="B547" s="1" t="s">
        <v>8</v>
      </c>
      <c r="C547" s="1" t="s">
        <v>550</v>
      </c>
      <c r="D547" s="1">
        <v>98</v>
      </c>
      <c r="E547" s="1">
        <v>77</v>
      </c>
      <c r="F547" s="1">
        <v>21</v>
      </c>
    </row>
    <row r="548" spans="1:6">
      <c r="A548" s="2">
        <v>45794</v>
      </c>
      <c r="B548" s="1" t="s">
        <v>10</v>
      </c>
      <c r="C548" s="1" t="s">
        <v>551</v>
      </c>
      <c r="D548" s="1">
        <v>49</v>
      </c>
      <c r="E548" s="1">
        <v>41</v>
      </c>
      <c r="F548" s="1">
        <v>8</v>
      </c>
    </row>
    <row r="549" spans="1:6">
      <c r="A549" s="2">
        <v>45794</v>
      </c>
      <c r="B549" s="1" t="s">
        <v>12</v>
      </c>
      <c r="C549" s="1" t="s">
        <v>552</v>
      </c>
      <c r="D549" s="1">
        <v>80</v>
      </c>
      <c r="E549" s="1">
        <v>62</v>
      </c>
      <c r="F549" s="1">
        <v>18</v>
      </c>
    </row>
    <row r="550" spans="1:6">
      <c r="A550" s="2">
        <v>45795</v>
      </c>
      <c r="B550" s="1" t="s">
        <v>6</v>
      </c>
      <c r="C550" s="1" t="s">
        <v>553</v>
      </c>
      <c r="D550" s="1">
        <v>93</v>
      </c>
      <c r="E550" s="1">
        <v>79</v>
      </c>
      <c r="F550" s="1">
        <v>14</v>
      </c>
    </row>
    <row r="551" spans="1:6">
      <c r="A551" s="2">
        <v>45795</v>
      </c>
      <c r="B551" s="1" t="s">
        <v>8</v>
      </c>
      <c r="C551" s="1" t="s">
        <v>554</v>
      </c>
      <c r="D551" s="1">
        <v>56</v>
      </c>
      <c r="E551" s="1">
        <v>51</v>
      </c>
      <c r="F551" s="1">
        <v>5</v>
      </c>
    </row>
    <row r="552" spans="1:6">
      <c r="A552" s="2">
        <v>45795</v>
      </c>
      <c r="B552" s="1" t="s">
        <v>10</v>
      </c>
      <c r="C552" s="1" t="s">
        <v>555</v>
      </c>
      <c r="D552" s="1">
        <v>87</v>
      </c>
      <c r="E552" s="1">
        <v>73</v>
      </c>
      <c r="F552" s="1">
        <v>14</v>
      </c>
    </row>
    <row r="553" spans="1:6">
      <c r="A553" s="2">
        <v>45795</v>
      </c>
      <c r="B553" s="1" t="s">
        <v>12</v>
      </c>
      <c r="C553" s="1" t="s">
        <v>556</v>
      </c>
      <c r="D553" s="1">
        <v>45</v>
      </c>
      <c r="E553" s="1">
        <v>43</v>
      </c>
      <c r="F553" s="1">
        <v>2</v>
      </c>
    </row>
    <row r="554" spans="1:6">
      <c r="A554" s="2">
        <v>45796</v>
      </c>
      <c r="B554" s="1" t="s">
        <v>6</v>
      </c>
      <c r="C554" s="1" t="s">
        <v>557</v>
      </c>
      <c r="D554" s="1">
        <v>52</v>
      </c>
      <c r="E554" s="1">
        <v>37</v>
      </c>
      <c r="F554" s="1">
        <v>15</v>
      </c>
    </row>
    <row r="555" spans="1:6">
      <c r="A555" s="2">
        <v>45796</v>
      </c>
      <c r="B555" s="1" t="s">
        <v>8</v>
      </c>
      <c r="C555" s="1" t="s">
        <v>558</v>
      </c>
      <c r="D555" s="1">
        <v>67</v>
      </c>
      <c r="E555" s="1">
        <v>63</v>
      </c>
      <c r="F555" s="1">
        <v>4</v>
      </c>
    </row>
    <row r="556" spans="1:6">
      <c r="A556" s="2">
        <v>45796</v>
      </c>
      <c r="B556" s="1" t="s">
        <v>10</v>
      </c>
      <c r="C556" s="1" t="s">
        <v>559</v>
      </c>
      <c r="D556" s="1">
        <v>86</v>
      </c>
      <c r="E556" s="1">
        <v>63</v>
      </c>
      <c r="F556" s="1">
        <v>23</v>
      </c>
    </row>
    <row r="557" spans="1:6">
      <c r="A557" s="2">
        <v>45796</v>
      </c>
      <c r="B557" s="1" t="s">
        <v>12</v>
      </c>
      <c r="C557" s="1" t="s">
        <v>560</v>
      </c>
      <c r="D557" s="1">
        <v>30</v>
      </c>
      <c r="E557" s="1">
        <v>23</v>
      </c>
      <c r="F557" s="1">
        <v>7</v>
      </c>
    </row>
    <row r="558" spans="1:6">
      <c r="A558" s="2">
        <v>45797</v>
      </c>
      <c r="B558" s="1" t="s">
        <v>6</v>
      </c>
      <c r="C558" s="1" t="s">
        <v>561</v>
      </c>
      <c r="D558" s="1">
        <v>77</v>
      </c>
      <c r="E558" s="1">
        <v>69</v>
      </c>
      <c r="F558" s="1">
        <v>8</v>
      </c>
    </row>
    <row r="559" spans="1:6">
      <c r="A559" s="2">
        <v>45797</v>
      </c>
      <c r="B559" s="1" t="s">
        <v>8</v>
      </c>
      <c r="C559" s="1" t="s">
        <v>562</v>
      </c>
      <c r="D559" s="1">
        <v>75</v>
      </c>
      <c r="E559" s="1">
        <v>54</v>
      </c>
      <c r="F559" s="1">
        <v>21</v>
      </c>
    </row>
    <row r="560" spans="1:6">
      <c r="A560" s="2">
        <v>45797</v>
      </c>
      <c r="B560" s="1" t="s">
        <v>10</v>
      </c>
      <c r="C560" s="1" t="s">
        <v>563</v>
      </c>
      <c r="D560" s="1">
        <v>77</v>
      </c>
      <c r="E560" s="1">
        <v>64</v>
      </c>
      <c r="F560" s="1">
        <v>13</v>
      </c>
    </row>
    <row r="561" spans="1:6">
      <c r="A561" s="2">
        <v>45797</v>
      </c>
      <c r="B561" s="1" t="s">
        <v>12</v>
      </c>
      <c r="C561" s="1" t="s">
        <v>564</v>
      </c>
      <c r="D561" s="1">
        <v>73</v>
      </c>
      <c r="E561" s="1">
        <v>52</v>
      </c>
      <c r="F561" s="1">
        <v>21</v>
      </c>
    </row>
    <row r="562" spans="1:6">
      <c r="A562" s="2">
        <v>45798</v>
      </c>
      <c r="B562" s="1" t="s">
        <v>6</v>
      </c>
      <c r="C562" s="1" t="s">
        <v>565</v>
      </c>
      <c r="D562" s="1">
        <v>84</v>
      </c>
      <c r="E562" s="1">
        <v>69</v>
      </c>
      <c r="F562" s="1">
        <v>15</v>
      </c>
    </row>
    <row r="563" spans="1:6">
      <c r="A563" s="2">
        <v>45798</v>
      </c>
      <c r="B563" s="1" t="s">
        <v>8</v>
      </c>
      <c r="C563" s="1" t="s">
        <v>566</v>
      </c>
      <c r="D563" s="1">
        <v>69</v>
      </c>
      <c r="E563" s="1">
        <v>50</v>
      </c>
      <c r="F563" s="1">
        <v>19</v>
      </c>
    </row>
    <row r="564" spans="1:6">
      <c r="A564" s="2">
        <v>45798</v>
      </c>
      <c r="B564" s="1" t="s">
        <v>10</v>
      </c>
      <c r="C564" s="1" t="s">
        <v>567</v>
      </c>
      <c r="D564" s="1">
        <v>48</v>
      </c>
      <c r="E564" s="1">
        <v>33</v>
      </c>
      <c r="F564" s="1">
        <v>15</v>
      </c>
    </row>
    <row r="565" spans="1:6">
      <c r="A565" s="2">
        <v>45798</v>
      </c>
      <c r="B565" s="1" t="s">
        <v>12</v>
      </c>
      <c r="C565" s="1" t="s">
        <v>568</v>
      </c>
      <c r="D565" s="1">
        <v>32</v>
      </c>
      <c r="E565" s="1">
        <v>32</v>
      </c>
      <c r="F565" s="1">
        <v>0</v>
      </c>
    </row>
    <row r="566" spans="1:6">
      <c r="A566" s="2">
        <v>45799</v>
      </c>
      <c r="B566" s="1" t="s">
        <v>6</v>
      </c>
      <c r="C566" s="1" t="s">
        <v>569</v>
      </c>
      <c r="D566" s="1">
        <v>38</v>
      </c>
      <c r="E566" s="1">
        <v>28</v>
      </c>
      <c r="F566" s="1">
        <v>10</v>
      </c>
    </row>
    <row r="567" spans="1:6">
      <c r="A567" s="2">
        <v>45799</v>
      </c>
      <c r="B567" s="1" t="s">
        <v>8</v>
      </c>
      <c r="C567" s="1" t="s">
        <v>570</v>
      </c>
      <c r="D567" s="1">
        <v>56</v>
      </c>
      <c r="E567" s="1">
        <v>54</v>
      </c>
      <c r="F567" s="1">
        <v>2</v>
      </c>
    </row>
    <row r="568" spans="1:6">
      <c r="A568" s="2">
        <v>45799</v>
      </c>
      <c r="B568" s="1" t="s">
        <v>10</v>
      </c>
      <c r="C568" s="1" t="s">
        <v>571</v>
      </c>
      <c r="D568" s="1">
        <v>80</v>
      </c>
      <c r="E568" s="1">
        <v>70</v>
      </c>
      <c r="F568" s="1">
        <v>10</v>
      </c>
    </row>
    <row r="569" spans="1:6">
      <c r="A569" s="2">
        <v>45799</v>
      </c>
      <c r="B569" s="1" t="s">
        <v>12</v>
      </c>
      <c r="C569" s="1" t="s">
        <v>572</v>
      </c>
      <c r="D569" s="1">
        <v>30</v>
      </c>
      <c r="E569" s="1">
        <v>21</v>
      </c>
      <c r="F569" s="1">
        <v>9</v>
      </c>
    </row>
    <row r="570" spans="1:6">
      <c r="A570" s="2">
        <v>45800</v>
      </c>
      <c r="B570" s="1" t="s">
        <v>6</v>
      </c>
      <c r="C570" s="1" t="s">
        <v>573</v>
      </c>
      <c r="D570" s="1">
        <v>47</v>
      </c>
      <c r="E570" s="1">
        <v>36</v>
      </c>
      <c r="F570" s="1">
        <v>11</v>
      </c>
    </row>
    <row r="571" spans="1:6">
      <c r="A571" s="2">
        <v>45800</v>
      </c>
      <c r="B571" s="1" t="s">
        <v>8</v>
      </c>
      <c r="C571" s="1" t="s">
        <v>574</v>
      </c>
      <c r="D571" s="1">
        <v>97</v>
      </c>
      <c r="E571" s="1">
        <v>83</v>
      </c>
      <c r="F571" s="1">
        <v>14</v>
      </c>
    </row>
    <row r="572" spans="1:6">
      <c r="A572" s="2">
        <v>45800</v>
      </c>
      <c r="B572" s="1" t="s">
        <v>10</v>
      </c>
      <c r="C572" s="1" t="s">
        <v>575</v>
      </c>
      <c r="D572" s="1">
        <v>34</v>
      </c>
      <c r="E572" s="1">
        <v>27</v>
      </c>
      <c r="F572" s="1">
        <v>7</v>
      </c>
    </row>
    <row r="573" spans="1:6">
      <c r="A573" s="2">
        <v>45800</v>
      </c>
      <c r="B573" s="1" t="s">
        <v>12</v>
      </c>
      <c r="C573" s="1" t="s">
        <v>576</v>
      </c>
      <c r="D573" s="1">
        <v>58</v>
      </c>
      <c r="E573" s="1">
        <v>43</v>
      </c>
      <c r="F573" s="1">
        <v>15</v>
      </c>
    </row>
    <row r="574" spans="1:6">
      <c r="A574" s="2">
        <v>45801</v>
      </c>
      <c r="B574" s="1" t="s">
        <v>6</v>
      </c>
      <c r="C574" s="1" t="s">
        <v>577</v>
      </c>
      <c r="D574" s="1">
        <v>50</v>
      </c>
      <c r="E574" s="1">
        <v>48</v>
      </c>
      <c r="F574" s="1">
        <v>2</v>
      </c>
    </row>
    <row r="575" spans="1:6">
      <c r="A575" s="2">
        <v>45801</v>
      </c>
      <c r="B575" s="1" t="s">
        <v>8</v>
      </c>
      <c r="C575" s="1" t="s">
        <v>578</v>
      </c>
      <c r="D575" s="1">
        <v>28</v>
      </c>
      <c r="E575" s="1">
        <v>20</v>
      </c>
      <c r="F575" s="1">
        <v>8</v>
      </c>
    </row>
    <row r="576" spans="1:6">
      <c r="A576" s="2">
        <v>45801</v>
      </c>
      <c r="B576" s="1" t="s">
        <v>10</v>
      </c>
      <c r="C576" s="1" t="s">
        <v>579</v>
      </c>
      <c r="D576" s="1">
        <v>96</v>
      </c>
      <c r="E576" s="1">
        <v>84</v>
      </c>
      <c r="F576" s="1">
        <v>12</v>
      </c>
    </row>
    <row r="577" spans="1:6">
      <c r="A577" s="2">
        <v>45801</v>
      </c>
      <c r="B577" s="1" t="s">
        <v>12</v>
      </c>
      <c r="C577" s="1" t="s">
        <v>580</v>
      </c>
      <c r="D577" s="1">
        <v>100</v>
      </c>
      <c r="E577" s="1">
        <v>86</v>
      </c>
      <c r="F577" s="1">
        <v>14</v>
      </c>
    </row>
    <row r="578" spans="1:6">
      <c r="A578" s="2">
        <v>45802</v>
      </c>
      <c r="B578" s="1" t="s">
        <v>6</v>
      </c>
      <c r="C578" s="1" t="s">
        <v>581</v>
      </c>
      <c r="D578" s="1">
        <v>38</v>
      </c>
      <c r="E578" s="1">
        <v>30</v>
      </c>
      <c r="F578" s="1">
        <v>8</v>
      </c>
    </row>
    <row r="579" spans="1:6">
      <c r="A579" s="2">
        <v>45802</v>
      </c>
      <c r="B579" s="1" t="s">
        <v>8</v>
      </c>
      <c r="C579" s="1" t="s">
        <v>582</v>
      </c>
      <c r="D579" s="1">
        <v>20</v>
      </c>
      <c r="E579" s="1">
        <v>18</v>
      </c>
      <c r="F579" s="1">
        <v>2</v>
      </c>
    </row>
    <row r="580" spans="1:6">
      <c r="A580" s="2">
        <v>45802</v>
      </c>
      <c r="B580" s="1" t="s">
        <v>10</v>
      </c>
      <c r="C580" s="1" t="s">
        <v>583</v>
      </c>
      <c r="D580" s="1">
        <v>50</v>
      </c>
      <c r="E580" s="1">
        <v>48</v>
      </c>
      <c r="F580" s="1">
        <v>2</v>
      </c>
    </row>
    <row r="581" spans="1:6">
      <c r="A581" s="2">
        <v>45802</v>
      </c>
      <c r="B581" s="1" t="s">
        <v>12</v>
      </c>
      <c r="C581" s="1" t="s">
        <v>584</v>
      </c>
      <c r="D581" s="1">
        <v>30</v>
      </c>
      <c r="E581" s="1">
        <v>29</v>
      </c>
      <c r="F581" s="1">
        <v>1</v>
      </c>
    </row>
    <row r="582" spans="1:6">
      <c r="A582" s="2">
        <v>45803</v>
      </c>
      <c r="B582" s="1" t="s">
        <v>6</v>
      </c>
      <c r="C582" s="1" t="s">
        <v>585</v>
      </c>
      <c r="D582" s="1">
        <v>28</v>
      </c>
      <c r="E582" s="1">
        <v>27</v>
      </c>
      <c r="F582" s="1">
        <v>1</v>
      </c>
    </row>
    <row r="583" spans="1:6">
      <c r="A583" s="2">
        <v>45803</v>
      </c>
      <c r="B583" s="1" t="s">
        <v>8</v>
      </c>
      <c r="C583" s="1" t="s">
        <v>586</v>
      </c>
      <c r="D583" s="1">
        <v>84</v>
      </c>
      <c r="E583" s="1">
        <v>83</v>
      </c>
      <c r="F583" s="1">
        <v>1</v>
      </c>
    </row>
    <row r="584" spans="1:6">
      <c r="A584" s="2">
        <v>45803</v>
      </c>
      <c r="B584" s="1" t="s">
        <v>10</v>
      </c>
      <c r="C584" s="1" t="s">
        <v>587</v>
      </c>
      <c r="D584" s="1">
        <v>90</v>
      </c>
      <c r="E584" s="1">
        <v>62</v>
      </c>
      <c r="F584" s="1">
        <v>28</v>
      </c>
    </row>
    <row r="585" spans="1:6">
      <c r="A585" s="2">
        <v>45803</v>
      </c>
      <c r="B585" s="1" t="s">
        <v>12</v>
      </c>
      <c r="C585" s="1" t="s">
        <v>588</v>
      </c>
      <c r="D585" s="1">
        <v>80</v>
      </c>
      <c r="E585" s="1">
        <v>57</v>
      </c>
      <c r="F585" s="1">
        <v>23</v>
      </c>
    </row>
    <row r="586" spans="1:6">
      <c r="A586" s="2">
        <v>45804</v>
      </c>
      <c r="B586" s="1" t="s">
        <v>6</v>
      </c>
      <c r="C586" s="1" t="s">
        <v>589</v>
      </c>
      <c r="D586" s="1">
        <v>67</v>
      </c>
      <c r="E586" s="1">
        <v>54</v>
      </c>
      <c r="F586" s="1">
        <v>13</v>
      </c>
    </row>
    <row r="587" spans="1:6">
      <c r="A587" s="2">
        <v>45804</v>
      </c>
      <c r="B587" s="1" t="s">
        <v>8</v>
      </c>
      <c r="C587" s="1" t="s">
        <v>590</v>
      </c>
      <c r="D587" s="1">
        <v>65</v>
      </c>
      <c r="E587" s="1">
        <v>47</v>
      </c>
      <c r="F587" s="1">
        <v>18</v>
      </c>
    </row>
    <row r="588" spans="1:6">
      <c r="A588" s="2">
        <v>45804</v>
      </c>
      <c r="B588" s="1" t="s">
        <v>10</v>
      </c>
      <c r="C588" s="1" t="s">
        <v>591</v>
      </c>
      <c r="D588" s="1">
        <v>50</v>
      </c>
      <c r="E588" s="1">
        <v>38</v>
      </c>
      <c r="F588" s="1">
        <v>12</v>
      </c>
    </row>
    <row r="589" spans="1:6">
      <c r="A589" s="2">
        <v>45804</v>
      </c>
      <c r="B589" s="1" t="s">
        <v>12</v>
      </c>
      <c r="C589" s="1" t="s">
        <v>592</v>
      </c>
      <c r="D589" s="1">
        <v>37</v>
      </c>
      <c r="E589" s="1">
        <v>25</v>
      </c>
      <c r="F589" s="1">
        <v>12</v>
      </c>
    </row>
    <row r="590" spans="1:6">
      <c r="A590" s="2">
        <v>45805</v>
      </c>
      <c r="B590" s="1" t="s">
        <v>6</v>
      </c>
      <c r="C590" s="1" t="s">
        <v>593</v>
      </c>
      <c r="D590" s="1">
        <v>89</v>
      </c>
      <c r="E590" s="1">
        <v>72</v>
      </c>
      <c r="F590" s="1">
        <v>17</v>
      </c>
    </row>
    <row r="591" spans="1:6">
      <c r="A591" s="2">
        <v>45805</v>
      </c>
      <c r="B591" s="1" t="s">
        <v>8</v>
      </c>
      <c r="C591" s="1" t="s">
        <v>594</v>
      </c>
      <c r="D591" s="1">
        <v>79</v>
      </c>
      <c r="E591" s="1">
        <v>77</v>
      </c>
      <c r="F591" s="1">
        <v>2</v>
      </c>
    </row>
    <row r="592" spans="1:6">
      <c r="A592" s="2">
        <v>45805</v>
      </c>
      <c r="B592" s="1" t="s">
        <v>10</v>
      </c>
      <c r="C592" s="1" t="s">
        <v>595</v>
      </c>
      <c r="D592" s="1">
        <v>100</v>
      </c>
      <c r="E592" s="1">
        <v>75</v>
      </c>
      <c r="F592" s="1">
        <v>25</v>
      </c>
    </row>
    <row r="593" spans="1:6">
      <c r="A593" s="2">
        <v>45805</v>
      </c>
      <c r="B593" s="1" t="s">
        <v>12</v>
      </c>
      <c r="C593" s="1" t="s">
        <v>596</v>
      </c>
      <c r="D593" s="1">
        <v>28</v>
      </c>
      <c r="E593" s="1">
        <v>26</v>
      </c>
      <c r="F593" s="1">
        <v>2</v>
      </c>
    </row>
    <row r="594" spans="1:6">
      <c r="A594" s="2">
        <v>45806</v>
      </c>
      <c r="B594" s="1" t="s">
        <v>6</v>
      </c>
      <c r="C594" s="1" t="s">
        <v>597</v>
      </c>
      <c r="D594" s="1">
        <v>57</v>
      </c>
      <c r="E594" s="1">
        <v>45</v>
      </c>
      <c r="F594" s="1">
        <v>12</v>
      </c>
    </row>
    <row r="595" spans="1:6">
      <c r="A595" s="2">
        <v>45806</v>
      </c>
      <c r="B595" s="1" t="s">
        <v>8</v>
      </c>
      <c r="C595" s="1" t="s">
        <v>598</v>
      </c>
      <c r="D595" s="1">
        <v>45</v>
      </c>
      <c r="E595" s="1">
        <v>45</v>
      </c>
      <c r="F595" s="1">
        <v>0</v>
      </c>
    </row>
    <row r="596" spans="1:6">
      <c r="A596" s="2">
        <v>45806</v>
      </c>
      <c r="B596" s="1" t="s">
        <v>10</v>
      </c>
      <c r="C596" s="1" t="s">
        <v>599</v>
      </c>
      <c r="D596" s="1">
        <v>60</v>
      </c>
      <c r="E596" s="1">
        <v>51</v>
      </c>
      <c r="F596" s="1">
        <v>9</v>
      </c>
    </row>
    <row r="597" spans="1:6">
      <c r="A597" s="2">
        <v>45806</v>
      </c>
      <c r="B597" s="1" t="s">
        <v>12</v>
      </c>
      <c r="C597" s="1" t="s">
        <v>600</v>
      </c>
      <c r="D597" s="1">
        <v>70</v>
      </c>
      <c r="E597" s="1">
        <v>66</v>
      </c>
      <c r="F597" s="1">
        <v>4</v>
      </c>
    </row>
    <row r="598" spans="1:6">
      <c r="A598" s="2">
        <v>45807</v>
      </c>
      <c r="B598" s="1" t="s">
        <v>6</v>
      </c>
      <c r="C598" s="1" t="s">
        <v>601</v>
      </c>
      <c r="D598" s="1">
        <v>52</v>
      </c>
      <c r="E598" s="1">
        <v>37</v>
      </c>
      <c r="F598" s="1">
        <v>15</v>
      </c>
    </row>
    <row r="599" spans="1:6">
      <c r="A599" s="2">
        <v>45807</v>
      </c>
      <c r="B599" s="1" t="s">
        <v>8</v>
      </c>
      <c r="C599" s="1" t="s">
        <v>602</v>
      </c>
      <c r="D599" s="1">
        <v>56</v>
      </c>
      <c r="E599" s="1">
        <v>50</v>
      </c>
      <c r="F599" s="1">
        <v>6</v>
      </c>
    </row>
    <row r="600" spans="1:6">
      <c r="A600" s="2">
        <v>45807</v>
      </c>
      <c r="B600" s="1" t="s">
        <v>10</v>
      </c>
      <c r="C600" s="1" t="s">
        <v>603</v>
      </c>
      <c r="D600" s="1">
        <v>62</v>
      </c>
      <c r="E600" s="1">
        <v>51</v>
      </c>
      <c r="F600" s="1">
        <v>11</v>
      </c>
    </row>
    <row r="601" spans="1:6">
      <c r="A601" s="2">
        <v>45807</v>
      </c>
      <c r="B601" s="1" t="s">
        <v>12</v>
      </c>
      <c r="C601" s="1" t="s">
        <v>604</v>
      </c>
      <c r="D601" s="1">
        <v>67</v>
      </c>
      <c r="E601" s="1">
        <v>59</v>
      </c>
      <c r="F601" s="1">
        <v>8</v>
      </c>
    </row>
    <row r="602" spans="1:6">
      <c r="A602" s="2">
        <v>45808</v>
      </c>
      <c r="B602" s="1" t="s">
        <v>6</v>
      </c>
      <c r="C602" s="1" t="s">
        <v>605</v>
      </c>
      <c r="D602" s="1">
        <v>76</v>
      </c>
      <c r="E602" s="1">
        <v>65</v>
      </c>
      <c r="F602" s="1">
        <v>11</v>
      </c>
    </row>
    <row r="603" spans="1:6">
      <c r="A603" s="2">
        <v>45808</v>
      </c>
      <c r="B603" s="1" t="s">
        <v>8</v>
      </c>
      <c r="C603" s="1" t="s">
        <v>606</v>
      </c>
      <c r="D603" s="1">
        <v>43</v>
      </c>
      <c r="E603" s="1">
        <v>37</v>
      </c>
      <c r="F603" s="1">
        <v>6</v>
      </c>
    </row>
    <row r="604" spans="1:6">
      <c r="A604" s="2">
        <v>45808</v>
      </c>
      <c r="B604" s="1" t="s">
        <v>10</v>
      </c>
      <c r="C604" s="1" t="s">
        <v>607</v>
      </c>
      <c r="D604" s="1">
        <v>67</v>
      </c>
      <c r="E604" s="1">
        <v>62</v>
      </c>
      <c r="F604" s="1">
        <v>5</v>
      </c>
    </row>
    <row r="605" spans="1:6">
      <c r="A605" s="2">
        <v>45808</v>
      </c>
      <c r="B605" s="1" t="s">
        <v>12</v>
      </c>
      <c r="C605" s="1" t="s">
        <v>608</v>
      </c>
      <c r="D605" s="1">
        <v>30</v>
      </c>
      <c r="E605" s="1">
        <v>27</v>
      </c>
      <c r="F605" s="1">
        <v>3</v>
      </c>
    </row>
    <row r="606" spans="1:6">
      <c r="A606" s="2">
        <v>45809</v>
      </c>
      <c r="B606" s="1" t="s">
        <v>6</v>
      </c>
      <c r="C606" s="1" t="s">
        <v>609</v>
      </c>
      <c r="D606" s="1">
        <v>75</v>
      </c>
      <c r="E606" s="1">
        <v>71</v>
      </c>
      <c r="F606" s="1">
        <v>4</v>
      </c>
    </row>
    <row r="607" spans="1:6">
      <c r="A607" s="2">
        <v>45809</v>
      </c>
      <c r="B607" s="1" t="s">
        <v>8</v>
      </c>
      <c r="C607" s="1" t="s">
        <v>610</v>
      </c>
      <c r="D607" s="1">
        <v>89</v>
      </c>
      <c r="E607" s="1">
        <v>71</v>
      </c>
      <c r="F607" s="1">
        <v>18</v>
      </c>
    </row>
    <row r="608" spans="1:6">
      <c r="A608" s="2">
        <v>45809</v>
      </c>
      <c r="B608" s="1" t="s">
        <v>10</v>
      </c>
      <c r="C608" s="1" t="s">
        <v>611</v>
      </c>
      <c r="D608" s="1">
        <v>33</v>
      </c>
      <c r="E608" s="1">
        <v>24</v>
      </c>
      <c r="F608" s="1">
        <v>9</v>
      </c>
    </row>
    <row r="609" spans="1:6">
      <c r="A609" s="2">
        <v>45809</v>
      </c>
      <c r="B609" s="1" t="s">
        <v>12</v>
      </c>
      <c r="C609" s="1" t="s">
        <v>612</v>
      </c>
      <c r="D609" s="1">
        <v>57</v>
      </c>
      <c r="E609" s="1">
        <v>48</v>
      </c>
      <c r="F609" s="1">
        <v>9</v>
      </c>
    </row>
    <row r="610" spans="1:6">
      <c r="A610" s="2">
        <v>45810</v>
      </c>
      <c r="B610" s="1" t="s">
        <v>6</v>
      </c>
      <c r="C610" s="1" t="s">
        <v>189</v>
      </c>
      <c r="D610" s="1">
        <v>97</v>
      </c>
      <c r="E610" s="1">
        <v>89</v>
      </c>
      <c r="F610" s="1">
        <v>8</v>
      </c>
    </row>
    <row r="611" spans="1:6">
      <c r="A611" s="2">
        <v>45810</v>
      </c>
      <c r="B611" s="1" t="s">
        <v>8</v>
      </c>
      <c r="C611" s="1" t="s">
        <v>613</v>
      </c>
      <c r="D611" s="1">
        <v>41</v>
      </c>
      <c r="E611" s="1">
        <v>39</v>
      </c>
      <c r="F611" s="1">
        <v>2</v>
      </c>
    </row>
    <row r="612" spans="1:6">
      <c r="A612" s="2">
        <v>45810</v>
      </c>
      <c r="B612" s="1" t="s">
        <v>10</v>
      </c>
      <c r="C612" s="1" t="s">
        <v>614</v>
      </c>
      <c r="D612" s="1">
        <v>64</v>
      </c>
      <c r="E612" s="1">
        <v>58</v>
      </c>
      <c r="F612" s="1">
        <v>6</v>
      </c>
    </row>
    <row r="613" spans="1:6">
      <c r="A613" s="2">
        <v>45810</v>
      </c>
      <c r="B613" s="1" t="s">
        <v>12</v>
      </c>
      <c r="C613" s="1" t="s">
        <v>615</v>
      </c>
      <c r="D613" s="1">
        <v>65</v>
      </c>
      <c r="E613" s="1">
        <v>64</v>
      </c>
      <c r="F613" s="1">
        <v>1</v>
      </c>
    </row>
    <row r="614" spans="1:6">
      <c r="A614" s="2">
        <v>45811</v>
      </c>
      <c r="B614" s="1" t="s">
        <v>6</v>
      </c>
      <c r="C614" s="1" t="s">
        <v>616</v>
      </c>
      <c r="D614" s="1">
        <v>55</v>
      </c>
      <c r="E614" s="1">
        <v>39</v>
      </c>
      <c r="F614" s="1">
        <v>16</v>
      </c>
    </row>
    <row r="615" spans="1:6">
      <c r="A615" s="2">
        <v>45811</v>
      </c>
      <c r="B615" s="1" t="s">
        <v>8</v>
      </c>
      <c r="C615" s="1" t="s">
        <v>617</v>
      </c>
      <c r="D615" s="1">
        <v>71</v>
      </c>
      <c r="E615" s="1">
        <v>60</v>
      </c>
      <c r="F615" s="1">
        <v>11</v>
      </c>
    </row>
    <row r="616" spans="1:6">
      <c r="A616" s="2">
        <v>45811</v>
      </c>
      <c r="B616" s="1" t="s">
        <v>10</v>
      </c>
      <c r="C616" s="1" t="s">
        <v>618</v>
      </c>
      <c r="D616" s="1">
        <v>40</v>
      </c>
      <c r="E616" s="1">
        <v>28</v>
      </c>
      <c r="F616" s="1">
        <v>12</v>
      </c>
    </row>
    <row r="617" spans="1:6">
      <c r="A617" s="2">
        <v>45811</v>
      </c>
      <c r="B617" s="1" t="s">
        <v>12</v>
      </c>
      <c r="C617" s="1" t="s">
        <v>619</v>
      </c>
      <c r="D617" s="1">
        <v>97</v>
      </c>
      <c r="E617" s="1">
        <v>88</v>
      </c>
      <c r="F617" s="1">
        <v>9</v>
      </c>
    </row>
    <row r="618" spans="1:6">
      <c r="A618" s="2">
        <v>45812</v>
      </c>
      <c r="B618" s="1" t="s">
        <v>6</v>
      </c>
      <c r="C618" s="1" t="s">
        <v>620</v>
      </c>
      <c r="D618" s="1">
        <v>24</v>
      </c>
      <c r="E618" s="1">
        <v>18</v>
      </c>
      <c r="F618" s="1">
        <v>6</v>
      </c>
    </row>
    <row r="619" spans="1:6">
      <c r="A619" s="2">
        <v>45812</v>
      </c>
      <c r="B619" s="1" t="s">
        <v>8</v>
      </c>
      <c r="C619" s="1" t="s">
        <v>621</v>
      </c>
      <c r="D619" s="1">
        <v>50</v>
      </c>
      <c r="E619" s="1">
        <v>46</v>
      </c>
      <c r="F619" s="1">
        <v>4</v>
      </c>
    </row>
    <row r="620" spans="1:6">
      <c r="A620" s="2">
        <v>45812</v>
      </c>
      <c r="B620" s="1" t="s">
        <v>10</v>
      </c>
      <c r="C620" s="1" t="s">
        <v>622</v>
      </c>
      <c r="D620" s="1">
        <v>69</v>
      </c>
      <c r="E620" s="1">
        <v>66</v>
      </c>
      <c r="F620" s="1">
        <v>3</v>
      </c>
    </row>
    <row r="621" spans="1:6">
      <c r="A621" s="2">
        <v>45812</v>
      </c>
      <c r="B621" s="1" t="s">
        <v>12</v>
      </c>
      <c r="C621" s="1" t="s">
        <v>623</v>
      </c>
      <c r="D621" s="1">
        <v>97</v>
      </c>
      <c r="E621" s="1">
        <v>71</v>
      </c>
      <c r="F621" s="1">
        <v>26</v>
      </c>
    </row>
    <row r="622" spans="1:6">
      <c r="A622" s="2">
        <v>45813</v>
      </c>
      <c r="B622" s="1" t="s">
        <v>6</v>
      </c>
      <c r="C622" s="1" t="s">
        <v>624</v>
      </c>
      <c r="D622" s="1">
        <v>67</v>
      </c>
      <c r="E622" s="1">
        <v>57</v>
      </c>
      <c r="F622" s="1">
        <v>10</v>
      </c>
    </row>
    <row r="623" spans="1:6">
      <c r="A623" s="2">
        <v>45813</v>
      </c>
      <c r="B623" s="1" t="s">
        <v>8</v>
      </c>
      <c r="C623" s="1" t="s">
        <v>625</v>
      </c>
      <c r="D623" s="1">
        <v>29</v>
      </c>
      <c r="E623" s="1">
        <v>29</v>
      </c>
      <c r="F623" s="1">
        <v>0</v>
      </c>
    </row>
    <row r="624" spans="1:6">
      <c r="A624" s="2">
        <v>45813</v>
      </c>
      <c r="B624" s="1" t="s">
        <v>10</v>
      </c>
      <c r="C624" s="1" t="s">
        <v>626</v>
      </c>
      <c r="D624" s="1">
        <v>87</v>
      </c>
      <c r="E624" s="1">
        <v>71</v>
      </c>
      <c r="F624" s="1">
        <v>16</v>
      </c>
    </row>
    <row r="625" spans="1:6">
      <c r="A625" s="2">
        <v>45813</v>
      </c>
      <c r="B625" s="1" t="s">
        <v>12</v>
      </c>
      <c r="C625" s="1" t="s">
        <v>627</v>
      </c>
      <c r="D625" s="1">
        <v>60</v>
      </c>
      <c r="E625" s="1">
        <v>50</v>
      </c>
      <c r="F625" s="1">
        <v>10</v>
      </c>
    </row>
    <row r="626" spans="1:6">
      <c r="A626" s="2">
        <v>45814</v>
      </c>
      <c r="B626" s="1" t="s">
        <v>6</v>
      </c>
      <c r="C626" s="1" t="s">
        <v>628</v>
      </c>
      <c r="D626" s="1">
        <v>34</v>
      </c>
      <c r="E626" s="1">
        <v>23</v>
      </c>
      <c r="F626" s="1">
        <v>11</v>
      </c>
    </row>
    <row r="627" spans="1:6">
      <c r="A627" s="2">
        <v>45814</v>
      </c>
      <c r="B627" s="1" t="s">
        <v>8</v>
      </c>
      <c r="C627" s="1" t="s">
        <v>629</v>
      </c>
      <c r="D627" s="1">
        <v>83</v>
      </c>
      <c r="E627" s="1">
        <v>74</v>
      </c>
      <c r="F627" s="1">
        <v>9</v>
      </c>
    </row>
    <row r="628" spans="1:6">
      <c r="A628" s="2">
        <v>45814</v>
      </c>
      <c r="B628" s="1" t="s">
        <v>10</v>
      </c>
      <c r="C628" s="1" t="s">
        <v>630</v>
      </c>
      <c r="D628" s="1">
        <v>91</v>
      </c>
      <c r="E628" s="1">
        <v>66</v>
      </c>
      <c r="F628" s="1">
        <v>25</v>
      </c>
    </row>
    <row r="629" spans="1:6">
      <c r="A629" s="2">
        <v>45814</v>
      </c>
      <c r="B629" s="1" t="s">
        <v>12</v>
      </c>
      <c r="C629" s="1" t="s">
        <v>631</v>
      </c>
      <c r="D629" s="1">
        <v>53</v>
      </c>
      <c r="E629" s="1">
        <v>51</v>
      </c>
      <c r="F629" s="1">
        <v>2</v>
      </c>
    </row>
    <row r="630" spans="1:6">
      <c r="A630" s="2">
        <v>45815</v>
      </c>
      <c r="B630" s="1" t="s">
        <v>6</v>
      </c>
      <c r="C630" s="1" t="s">
        <v>632</v>
      </c>
      <c r="D630" s="1">
        <v>98</v>
      </c>
      <c r="E630" s="1">
        <v>77</v>
      </c>
      <c r="F630" s="1">
        <v>21</v>
      </c>
    </row>
    <row r="631" spans="1:6">
      <c r="A631" s="2">
        <v>45815</v>
      </c>
      <c r="B631" s="1" t="s">
        <v>8</v>
      </c>
      <c r="C631" s="1" t="s">
        <v>633</v>
      </c>
      <c r="D631" s="1">
        <v>45</v>
      </c>
      <c r="E631" s="1">
        <v>32</v>
      </c>
      <c r="F631" s="1">
        <v>13</v>
      </c>
    </row>
    <row r="632" spans="1:6">
      <c r="A632" s="2">
        <v>45815</v>
      </c>
      <c r="B632" s="1" t="s">
        <v>10</v>
      </c>
      <c r="C632" s="1" t="s">
        <v>634</v>
      </c>
      <c r="D632" s="1">
        <v>29</v>
      </c>
      <c r="E632" s="1">
        <v>27</v>
      </c>
      <c r="F632" s="1">
        <v>2</v>
      </c>
    </row>
    <row r="633" spans="1:6">
      <c r="A633" s="2">
        <v>45815</v>
      </c>
      <c r="B633" s="1" t="s">
        <v>12</v>
      </c>
      <c r="C633" s="1" t="s">
        <v>635</v>
      </c>
      <c r="D633" s="1">
        <v>76</v>
      </c>
      <c r="E633" s="1">
        <v>55</v>
      </c>
      <c r="F633" s="1">
        <v>21</v>
      </c>
    </row>
    <row r="634" spans="1:6">
      <c r="A634" s="2">
        <v>45816</v>
      </c>
      <c r="B634" s="1" t="s">
        <v>6</v>
      </c>
      <c r="C634" s="1" t="s">
        <v>636</v>
      </c>
      <c r="D634" s="1">
        <v>64</v>
      </c>
      <c r="E634" s="1">
        <v>46</v>
      </c>
      <c r="F634" s="1">
        <v>18</v>
      </c>
    </row>
    <row r="635" spans="1:6">
      <c r="A635" s="2">
        <v>45816</v>
      </c>
      <c r="B635" s="1" t="s">
        <v>8</v>
      </c>
      <c r="C635" s="1" t="s">
        <v>637</v>
      </c>
      <c r="D635" s="1">
        <v>57</v>
      </c>
      <c r="E635" s="1">
        <v>48</v>
      </c>
      <c r="F635" s="1">
        <v>9</v>
      </c>
    </row>
    <row r="636" spans="1:6">
      <c r="A636" s="2">
        <v>45816</v>
      </c>
      <c r="B636" s="1" t="s">
        <v>10</v>
      </c>
      <c r="C636" s="1" t="s">
        <v>638</v>
      </c>
      <c r="D636" s="1">
        <v>42</v>
      </c>
      <c r="E636" s="1">
        <v>41</v>
      </c>
      <c r="F636" s="1">
        <v>1</v>
      </c>
    </row>
    <row r="637" spans="1:6">
      <c r="A637" s="2">
        <v>45816</v>
      </c>
      <c r="B637" s="1" t="s">
        <v>12</v>
      </c>
      <c r="C637" s="1" t="s">
        <v>639</v>
      </c>
      <c r="D637" s="1">
        <v>85</v>
      </c>
      <c r="E637" s="1">
        <v>66</v>
      </c>
      <c r="F637" s="1">
        <v>19</v>
      </c>
    </row>
    <row r="638" spans="1:6">
      <c r="A638" s="2">
        <v>45817</v>
      </c>
      <c r="B638" s="1" t="s">
        <v>6</v>
      </c>
      <c r="C638" s="1" t="s">
        <v>640</v>
      </c>
      <c r="D638" s="1">
        <v>45</v>
      </c>
      <c r="E638" s="1">
        <v>43</v>
      </c>
      <c r="F638" s="1">
        <v>2</v>
      </c>
    </row>
    <row r="639" spans="1:6">
      <c r="A639" s="2">
        <v>45817</v>
      </c>
      <c r="B639" s="1" t="s">
        <v>8</v>
      </c>
      <c r="C639" s="1" t="s">
        <v>641</v>
      </c>
      <c r="D639" s="1">
        <v>50</v>
      </c>
      <c r="E639" s="1">
        <v>50</v>
      </c>
      <c r="F639" s="1">
        <v>0</v>
      </c>
    </row>
    <row r="640" spans="1:6">
      <c r="A640" s="2">
        <v>45817</v>
      </c>
      <c r="B640" s="1" t="s">
        <v>10</v>
      </c>
      <c r="C640" s="1" t="s">
        <v>642</v>
      </c>
      <c r="D640" s="1">
        <v>66</v>
      </c>
      <c r="E640" s="1">
        <v>63</v>
      </c>
      <c r="F640" s="1">
        <v>3</v>
      </c>
    </row>
    <row r="641" spans="1:6">
      <c r="A641" s="2">
        <v>45817</v>
      </c>
      <c r="B641" s="1" t="s">
        <v>12</v>
      </c>
      <c r="C641" s="1" t="s">
        <v>643</v>
      </c>
      <c r="D641" s="1">
        <v>79</v>
      </c>
      <c r="E641" s="1">
        <v>72</v>
      </c>
      <c r="F641" s="1">
        <v>7</v>
      </c>
    </row>
    <row r="642" spans="1:6">
      <c r="A642" s="2">
        <v>45818</v>
      </c>
      <c r="B642" s="1" t="s">
        <v>6</v>
      </c>
      <c r="C642" s="1" t="s">
        <v>644</v>
      </c>
      <c r="D642" s="1">
        <v>98</v>
      </c>
      <c r="E642" s="1">
        <v>96</v>
      </c>
      <c r="F642" s="1">
        <v>2</v>
      </c>
    </row>
    <row r="643" spans="1:6">
      <c r="A643" s="2">
        <v>45818</v>
      </c>
      <c r="B643" s="1" t="s">
        <v>8</v>
      </c>
      <c r="C643" s="1" t="s">
        <v>645</v>
      </c>
      <c r="D643" s="1">
        <v>28</v>
      </c>
      <c r="E643" s="1">
        <v>23</v>
      </c>
      <c r="F643" s="1">
        <v>5</v>
      </c>
    </row>
    <row r="644" spans="1:6">
      <c r="A644" s="2">
        <v>45818</v>
      </c>
      <c r="B644" s="1" t="s">
        <v>10</v>
      </c>
      <c r="C644" s="1" t="s">
        <v>646</v>
      </c>
      <c r="D644" s="1">
        <v>81</v>
      </c>
      <c r="E644" s="1">
        <v>72</v>
      </c>
      <c r="F644" s="1">
        <v>9</v>
      </c>
    </row>
    <row r="645" spans="1:6">
      <c r="A645" s="2">
        <v>45818</v>
      </c>
      <c r="B645" s="1" t="s">
        <v>12</v>
      </c>
      <c r="C645" s="1" t="s">
        <v>647</v>
      </c>
      <c r="D645" s="1">
        <v>72</v>
      </c>
      <c r="E645" s="1">
        <v>68</v>
      </c>
      <c r="F645" s="1">
        <v>4</v>
      </c>
    </row>
    <row r="646" spans="1:6">
      <c r="A646" s="2">
        <v>45819</v>
      </c>
      <c r="B646" s="1" t="s">
        <v>6</v>
      </c>
      <c r="C646" s="1" t="s">
        <v>648</v>
      </c>
      <c r="D646" s="1">
        <v>36</v>
      </c>
      <c r="E646" s="1">
        <v>30</v>
      </c>
      <c r="F646" s="1">
        <v>6</v>
      </c>
    </row>
    <row r="647" spans="1:6">
      <c r="A647" s="2">
        <v>45819</v>
      </c>
      <c r="B647" s="1" t="s">
        <v>8</v>
      </c>
      <c r="C647" s="1" t="s">
        <v>649</v>
      </c>
      <c r="D647" s="1">
        <v>77</v>
      </c>
      <c r="E647" s="1">
        <v>67</v>
      </c>
      <c r="F647" s="1">
        <v>10</v>
      </c>
    </row>
    <row r="648" spans="1:6">
      <c r="A648" s="2">
        <v>45819</v>
      </c>
      <c r="B648" s="1" t="s">
        <v>10</v>
      </c>
      <c r="C648" s="1" t="s">
        <v>650</v>
      </c>
      <c r="D648" s="1">
        <v>64</v>
      </c>
      <c r="E648" s="1">
        <v>48</v>
      </c>
      <c r="F648" s="1">
        <v>16</v>
      </c>
    </row>
    <row r="649" spans="1:6">
      <c r="A649" s="2">
        <v>45819</v>
      </c>
      <c r="B649" s="1" t="s">
        <v>12</v>
      </c>
      <c r="C649" s="1" t="s">
        <v>651</v>
      </c>
      <c r="D649" s="1">
        <v>36</v>
      </c>
      <c r="E649" s="1">
        <v>31</v>
      </c>
      <c r="F649" s="1">
        <v>5</v>
      </c>
    </row>
    <row r="650" spans="1:6">
      <c r="A650" s="2">
        <v>45820</v>
      </c>
      <c r="B650" s="1" t="s">
        <v>6</v>
      </c>
      <c r="C650" s="1" t="s">
        <v>652</v>
      </c>
      <c r="D650" s="1">
        <v>27</v>
      </c>
      <c r="E650" s="1">
        <v>19</v>
      </c>
      <c r="F650" s="1">
        <v>8</v>
      </c>
    </row>
    <row r="651" spans="1:6">
      <c r="A651" s="2">
        <v>45820</v>
      </c>
      <c r="B651" s="1" t="s">
        <v>8</v>
      </c>
      <c r="C651" s="1" t="s">
        <v>653</v>
      </c>
      <c r="D651" s="1">
        <v>39</v>
      </c>
      <c r="E651" s="1">
        <v>31</v>
      </c>
      <c r="F651" s="1">
        <v>8</v>
      </c>
    </row>
    <row r="652" spans="1:6">
      <c r="A652" s="2">
        <v>45820</v>
      </c>
      <c r="B652" s="1" t="s">
        <v>10</v>
      </c>
      <c r="C652" s="1" t="s">
        <v>654</v>
      </c>
      <c r="D652" s="1">
        <v>40</v>
      </c>
      <c r="E652" s="1">
        <v>33</v>
      </c>
      <c r="F652" s="1">
        <v>7</v>
      </c>
    </row>
    <row r="653" spans="1:6">
      <c r="A653" s="2">
        <v>45820</v>
      </c>
      <c r="B653" s="1" t="s">
        <v>12</v>
      </c>
      <c r="C653" s="1" t="s">
        <v>655</v>
      </c>
      <c r="D653" s="1">
        <v>64</v>
      </c>
      <c r="E653" s="1">
        <v>60</v>
      </c>
      <c r="F653" s="1">
        <v>4</v>
      </c>
    </row>
    <row r="654" spans="1:6">
      <c r="A654" s="2">
        <v>45821</v>
      </c>
      <c r="B654" s="1" t="s">
        <v>6</v>
      </c>
      <c r="C654" s="1" t="s">
        <v>656</v>
      </c>
      <c r="D654" s="1">
        <v>30</v>
      </c>
      <c r="E654" s="1">
        <v>25</v>
      </c>
      <c r="F654" s="1">
        <v>5</v>
      </c>
    </row>
    <row r="655" spans="1:6">
      <c r="A655" s="2">
        <v>45821</v>
      </c>
      <c r="B655" s="1" t="s">
        <v>8</v>
      </c>
      <c r="C655" s="1" t="s">
        <v>657</v>
      </c>
      <c r="D655" s="1">
        <v>90</v>
      </c>
      <c r="E655" s="1">
        <v>70</v>
      </c>
      <c r="F655" s="1">
        <v>20</v>
      </c>
    </row>
    <row r="656" spans="1:6">
      <c r="A656" s="2">
        <v>45821</v>
      </c>
      <c r="B656" s="1" t="s">
        <v>10</v>
      </c>
      <c r="C656" s="1" t="s">
        <v>658</v>
      </c>
      <c r="D656" s="1">
        <v>100</v>
      </c>
      <c r="E656" s="1">
        <v>79</v>
      </c>
      <c r="F656" s="1">
        <v>21</v>
      </c>
    </row>
    <row r="657" spans="1:6">
      <c r="A657" s="2">
        <v>45821</v>
      </c>
      <c r="B657" s="1" t="s">
        <v>12</v>
      </c>
      <c r="C657" s="1" t="s">
        <v>659</v>
      </c>
      <c r="D657" s="1">
        <v>31</v>
      </c>
      <c r="E657" s="1">
        <v>29</v>
      </c>
      <c r="F657" s="1">
        <v>2</v>
      </c>
    </row>
    <row r="658" spans="1:6">
      <c r="A658" s="2">
        <v>45822</v>
      </c>
      <c r="B658" s="1" t="s">
        <v>6</v>
      </c>
      <c r="C658" s="1" t="s">
        <v>660</v>
      </c>
      <c r="D658" s="1">
        <v>95</v>
      </c>
      <c r="E658" s="1">
        <v>84</v>
      </c>
      <c r="F658" s="1">
        <v>11</v>
      </c>
    </row>
    <row r="659" spans="1:6">
      <c r="A659" s="2">
        <v>45822</v>
      </c>
      <c r="B659" s="1" t="s">
        <v>8</v>
      </c>
      <c r="C659" s="1" t="s">
        <v>661</v>
      </c>
      <c r="D659" s="1">
        <v>41</v>
      </c>
      <c r="E659" s="1">
        <v>38</v>
      </c>
      <c r="F659" s="1">
        <v>3</v>
      </c>
    </row>
    <row r="660" spans="1:6">
      <c r="A660" s="2">
        <v>45822</v>
      </c>
      <c r="B660" s="1" t="s">
        <v>10</v>
      </c>
      <c r="C660" s="1" t="s">
        <v>662</v>
      </c>
      <c r="D660" s="1">
        <v>92</v>
      </c>
      <c r="E660" s="1">
        <v>65</v>
      </c>
      <c r="F660" s="1">
        <v>27</v>
      </c>
    </row>
    <row r="661" spans="1:6">
      <c r="A661" s="2">
        <v>45822</v>
      </c>
      <c r="B661" s="1" t="s">
        <v>12</v>
      </c>
      <c r="C661" s="1" t="s">
        <v>663</v>
      </c>
      <c r="D661" s="1">
        <v>30</v>
      </c>
      <c r="E661" s="1">
        <v>21</v>
      </c>
      <c r="F661" s="1">
        <v>9</v>
      </c>
    </row>
    <row r="662" spans="1:6">
      <c r="A662" s="2">
        <v>45823</v>
      </c>
      <c r="B662" s="1" t="s">
        <v>6</v>
      </c>
      <c r="C662" s="1" t="s">
        <v>664</v>
      </c>
      <c r="D662" s="1">
        <v>46</v>
      </c>
      <c r="E662" s="1">
        <v>44</v>
      </c>
      <c r="F662" s="1">
        <v>2</v>
      </c>
    </row>
    <row r="663" spans="1:6">
      <c r="A663" s="2">
        <v>45823</v>
      </c>
      <c r="B663" s="1" t="s">
        <v>8</v>
      </c>
      <c r="C663" s="1" t="s">
        <v>665</v>
      </c>
      <c r="D663" s="1">
        <v>99</v>
      </c>
      <c r="E663" s="1">
        <v>89</v>
      </c>
      <c r="F663" s="1">
        <v>10</v>
      </c>
    </row>
    <row r="664" spans="1:6">
      <c r="A664" s="2">
        <v>45823</v>
      </c>
      <c r="B664" s="1" t="s">
        <v>10</v>
      </c>
      <c r="C664" s="1" t="s">
        <v>666</v>
      </c>
      <c r="D664" s="1">
        <v>83</v>
      </c>
      <c r="E664" s="1">
        <v>78</v>
      </c>
      <c r="F664" s="1">
        <v>5</v>
      </c>
    </row>
    <row r="665" spans="1:6">
      <c r="A665" s="2">
        <v>45823</v>
      </c>
      <c r="B665" s="1" t="s">
        <v>12</v>
      </c>
      <c r="C665" s="1" t="s">
        <v>667</v>
      </c>
      <c r="D665" s="1">
        <v>57</v>
      </c>
      <c r="E665" s="1">
        <v>48</v>
      </c>
      <c r="F665" s="1">
        <v>9</v>
      </c>
    </row>
    <row r="666" spans="1:6">
      <c r="A666" s="2">
        <v>45824</v>
      </c>
      <c r="B666" s="1" t="s">
        <v>6</v>
      </c>
      <c r="C666" s="1" t="s">
        <v>668</v>
      </c>
      <c r="D666" s="1">
        <v>51</v>
      </c>
      <c r="E666" s="1">
        <v>47</v>
      </c>
      <c r="F666" s="1">
        <v>4</v>
      </c>
    </row>
    <row r="667" spans="1:6">
      <c r="A667" s="2">
        <v>45824</v>
      </c>
      <c r="B667" s="1" t="s">
        <v>8</v>
      </c>
      <c r="C667" s="1" t="s">
        <v>669</v>
      </c>
      <c r="D667" s="1">
        <v>78</v>
      </c>
      <c r="E667" s="1">
        <v>56</v>
      </c>
      <c r="F667" s="1">
        <v>22</v>
      </c>
    </row>
    <row r="668" spans="1:6">
      <c r="A668" s="2">
        <v>45824</v>
      </c>
      <c r="B668" s="1" t="s">
        <v>10</v>
      </c>
      <c r="C668" s="1" t="s">
        <v>670</v>
      </c>
      <c r="D668" s="1">
        <v>40</v>
      </c>
      <c r="E668" s="1">
        <v>35</v>
      </c>
      <c r="F668" s="1">
        <v>5</v>
      </c>
    </row>
    <row r="669" spans="1:6">
      <c r="A669" s="2">
        <v>45824</v>
      </c>
      <c r="B669" s="1" t="s">
        <v>12</v>
      </c>
      <c r="C669" s="1" t="s">
        <v>671</v>
      </c>
      <c r="D669" s="1">
        <v>81</v>
      </c>
      <c r="E669" s="1">
        <v>70</v>
      </c>
      <c r="F669" s="1">
        <v>11</v>
      </c>
    </row>
    <row r="670" spans="1:6">
      <c r="A670" s="2">
        <v>45825</v>
      </c>
      <c r="B670" s="1" t="s">
        <v>6</v>
      </c>
      <c r="C670" s="1" t="s">
        <v>672</v>
      </c>
      <c r="D670" s="1">
        <v>63</v>
      </c>
      <c r="E670" s="1">
        <v>63</v>
      </c>
      <c r="F670" s="1">
        <v>0</v>
      </c>
    </row>
    <row r="671" spans="1:6">
      <c r="A671" s="2">
        <v>45825</v>
      </c>
      <c r="B671" s="1" t="s">
        <v>8</v>
      </c>
      <c r="C671" s="1" t="s">
        <v>673</v>
      </c>
      <c r="D671" s="1">
        <v>60</v>
      </c>
      <c r="E671" s="1">
        <v>52</v>
      </c>
      <c r="F671" s="1">
        <v>8</v>
      </c>
    </row>
    <row r="672" spans="1:6">
      <c r="A672" s="2">
        <v>45825</v>
      </c>
      <c r="B672" s="1" t="s">
        <v>10</v>
      </c>
      <c r="C672" s="1" t="s">
        <v>674</v>
      </c>
      <c r="D672" s="1">
        <v>71</v>
      </c>
      <c r="E672" s="1">
        <v>53</v>
      </c>
      <c r="F672" s="1">
        <v>18</v>
      </c>
    </row>
    <row r="673" spans="1:6">
      <c r="A673" s="2">
        <v>45825</v>
      </c>
      <c r="B673" s="1" t="s">
        <v>12</v>
      </c>
      <c r="C673" s="1" t="s">
        <v>675</v>
      </c>
      <c r="D673" s="1">
        <v>85</v>
      </c>
      <c r="E673" s="1">
        <v>76</v>
      </c>
      <c r="F673" s="1">
        <v>9</v>
      </c>
    </row>
    <row r="674" spans="1:6">
      <c r="A674" s="2">
        <v>45826</v>
      </c>
      <c r="B674" s="1" t="s">
        <v>6</v>
      </c>
      <c r="C674" s="1" t="s">
        <v>676</v>
      </c>
      <c r="D674" s="1">
        <v>60</v>
      </c>
      <c r="E674" s="1">
        <v>49</v>
      </c>
      <c r="F674" s="1">
        <v>11</v>
      </c>
    </row>
    <row r="675" spans="1:6">
      <c r="A675" s="2">
        <v>45826</v>
      </c>
      <c r="B675" s="1" t="s">
        <v>8</v>
      </c>
      <c r="C675" s="1" t="s">
        <v>677</v>
      </c>
      <c r="D675" s="1">
        <v>35</v>
      </c>
      <c r="E675" s="1">
        <v>28</v>
      </c>
      <c r="F675" s="1">
        <v>7</v>
      </c>
    </row>
    <row r="676" spans="1:6">
      <c r="A676" s="2">
        <v>45826</v>
      </c>
      <c r="B676" s="1" t="s">
        <v>10</v>
      </c>
      <c r="C676" s="1" t="s">
        <v>678</v>
      </c>
      <c r="D676" s="1">
        <v>51</v>
      </c>
      <c r="E676" s="1">
        <v>39</v>
      </c>
      <c r="F676" s="1">
        <v>12</v>
      </c>
    </row>
    <row r="677" spans="1:6">
      <c r="A677" s="2">
        <v>45826</v>
      </c>
      <c r="B677" s="1" t="s">
        <v>12</v>
      </c>
      <c r="C677" s="1" t="s">
        <v>679</v>
      </c>
      <c r="D677" s="1">
        <v>26</v>
      </c>
      <c r="E677" s="1">
        <v>22</v>
      </c>
      <c r="F677" s="1">
        <v>4</v>
      </c>
    </row>
    <row r="678" spans="1:6">
      <c r="A678" s="2">
        <v>45827</v>
      </c>
      <c r="B678" s="1" t="s">
        <v>6</v>
      </c>
      <c r="C678" s="1" t="s">
        <v>680</v>
      </c>
      <c r="D678" s="1">
        <v>98</v>
      </c>
      <c r="E678" s="1">
        <v>81</v>
      </c>
      <c r="F678" s="1">
        <v>17</v>
      </c>
    </row>
    <row r="679" spans="1:6">
      <c r="A679" s="2">
        <v>45827</v>
      </c>
      <c r="B679" s="1" t="s">
        <v>8</v>
      </c>
      <c r="C679" s="1" t="s">
        <v>681</v>
      </c>
      <c r="D679" s="1">
        <v>40</v>
      </c>
      <c r="E679" s="1">
        <v>33</v>
      </c>
      <c r="F679" s="1">
        <v>7</v>
      </c>
    </row>
    <row r="680" spans="1:6">
      <c r="A680" s="2">
        <v>45827</v>
      </c>
      <c r="B680" s="1" t="s">
        <v>10</v>
      </c>
      <c r="C680" s="1" t="s">
        <v>682</v>
      </c>
      <c r="D680" s="1">
        <v>44</v>
      </c>
      <c r="E680" s="1">
        <v>42</v>
      </c>
      <c r="F680" s="1">
        <v>2</v>
      </c>
    </row>
    <row r="681" spans="1:6">
      <c r="A681" s="2">
        <v>45827</v>
      </c>
      <c r="B681" s="1" t="s">
        <v>12</v>
      </c>
      <c r="C681" s="1" t="s">
        <v>683</v>
      </c>
      <c r="D681" s="1">
        <v>83</v>
      </c>
      <c r="E681" s="1">
        <v>74</v>
      </c>
      <c r="F681" s="1">
        <v>9</v>
      </c>
    </row>
    <row r="682" spans="1:6">
      <c r="A682" s="2">
        <v>45828</v>
      </c>
      <c r="B682" s="1" t="s">
        <v>6</v>
      </c>
      <c r="C682" s="1" t="s">
        <v>684</v>
      </c>
      <c r="D682" s="1">
        <v>83</v>
      </c>
      <c r="E682" s="1">
        <v>67</v>
      </c>
      <c r="F682" s="1">
        <v>16</v>
      </c>
    </row>
    <row r="683" spans="1:6">
      <c r="A683" s="2">
        <v>45828</v>
      </c>
      <c r="B683" s="1" t="s">
        <v>8</v>
      </c>
      <c r="C683" s="1" t="s">
        <v>685</v>
      </c>
      <c r="D683" s="1">
        <v>22</v>
      </c>
      <c r="E683" s="1">
        <v>16</v>
      </c>
      <c r="F683" s="1">
        <v>6</v>
      </c>
    </row>
    <row r="684" spans="1:6">
      <c r="A684" s="2">
        <v>45828</v>
      </c>
      <c r="B684" s="1" t="s">
        <v>10</v>
      </c>
      <c r="C684" s="1" t="s">
        <v>686</v>
      </c>
      <c r="D684" s="1">
        <v>84</v>
      </c>
      <c r="E684" s="1">
        <v>72</v>
      </c>
      <c r="F684" s="1">
        <v>12</v>
      </c>
    </row>
    <row r="685" spans="1:6">
      <c r="A685" s="2">
        <v>45828</v>
      </c>
      <c r="B685" s="1" t="s">
        <v>12</v>
      </c>
      <c r="C685" s="1" t="s">
        <v>687</v>
      </c>
      <c r="D685" s="1">
        <v>47</v>
      </c>
      <c r="E685" s="1">
        <v>43</v>
      </c>
      <c r="F685" s="1">
        <v>4</v>
      </c>
    </row>
    <row r="686" spans="1:6">
      <c r="A686" s="2">
        <v>45829</v>
      </c>
      <c r="B686" s="1" t="s">
        <v>6</v>
      </c>
      <c r="C686" s="1" t="s">
        <v>688</v>
      </c>
      <c r="D686" s="1">
        <v>26</v>
      </c>
      <c r="E686" s="1">
        <v>22</v>
      </c>
      <c r="F686" s="1">
        <v>4</v>
      </c>
    </row>
    <row r="687" spans="1:6">
      <c r="A687" s="2">
        <v>45829</v>
      </c>
      <c r="B687" s="1" t="s">
        <v>8</v>
      </c>
      <c r="C687" s="1" t="s">
        <v>689</v>
      </c>
      <c r="D687" s="1">
        <v>96</v>
      </c>
      <c r="E687" s="1">
        <v>95</v>
      </c>
      <c r="F687" s="1">
        <v>1</v>
      </c>
    </row>
    <row r="688" spans="1:6">
      <c r="A688" s="2">
        <v>45829</v>
      </c>
      <c r="B688" s="1" t="s">
        <v>10</v>
      </c>
      <c r="C688" s="1" t="s">
        <v>690</v>
      </c>
      <c r="D688" s="1">
        <v>56</v>
      </c>
      <c r="E688" s="1">
        <v>56</v>
      </c>
      <c r="F688" s="1">
        <v>0</v>
      </c>
    </row>
    <row r="689" spans="1:6">
      <c r="A689" s="2">
        <v>45829</v>
      </c>
      <c r="B689" s="1" t="s">
        <v>12</v>
      </c>
      <c r="C689" s="1" t="s">
        <v>691</v>
      </c>
      <c r="D689" s="1">
        <v>33</v>
      </c>
      <c r="E689" s="1">
        <v>29</v>
      </c>
      <c r="F689" s="1">
        <v>4</v>
      </c>
    </row>
    <row r="690" spans="1:6">
      <c r="A690" s="2">
        <v>45830</v>
      </c>
      <c r="B690" s="1" t="s">
        <v>6</v>
      </c>
      <c r="C690" s="1" t="s">
        <v>692</v>
      </c>
      <c r="D690" s="1">
        <v>53</v>
      </c>
      <c r="E690" s="1">
        <v>48</v>
      </c>
      <c r="F690" s="1">
        <v>5</v>
      </c>
    </row>
    <row r="691" spans="1:6">
      <c r="A691" s="2">
        <v>45830</v>
      </c>
      <c r="B691" s="1" t="s">
        <v>8</v>
      </c>
      <c r="C691" s="1" t="s">
        <v>693</v>
      </c>
      <c r="D691" s="1">
        <v>66</v>
      </c>
      <c r="E691" s="1">
        <v>47</v>
      </c>
      <c r="F691" s="1">
        <v>19</v>
      </c>
    </row>
    <row r="692" spans="1:6">
      <c r="A692" s="2">
        <v>45830</v>
      </c>
      <c r="B692" s="1" t="s">
        <v>10</v>
      </c>
      <c r="C692" s="1" t="s">
        <v>694</v>
      </c>
      <c r="D692" s="1">
        <v>26</v>
      </c>
      <c r="E692" s="1">
        <v>26</v>
      </c>
      <c r="F692" s="1">
        <v>0</v>
      </c>
    </row>
    <row r="693" spans="1:6">
      <c r="A693" s="2">
        <v>45830</v>
      </c>
      <c r="B693" s="1" t="s">
        <v>12</v>
      </c>
      <c r="C693" s="1" t="s">
        <v>695</v>
      </c>
      <c r="D693" s="1">
        <v>66</v>
      </c>
      <c r="E693" s="1">
        <v>63</v>
      </c>
      <c r="F693" s="1">
        <v>3</v>
      </c>
    </row>
    <row r="694" spans="1:6">
      <c r="A694" s="2">
        <v>45831</v>
      </c>
      <c r="B694" s="1" t="s">
        <v>6</v>
      </c>
      <c r="C694" s="1" t="s">
        <v>696</v>
      </c>
      <c r="D694" s="1">
        <v>29</v>
      </c>
      <c r="E694" s="1">
        <v>26</v>
      </c>
      <c r="F694" s="1">
        <v>3</v>
      </c>
    </row>
    <row r="695" spans="1:6">
      <c r="A695" s="2">
        <v>45831</v>
      </c>
      <c r="B695" s="1" t="s">
        <v>8</v>
      </c>
      <c r="C695" s="1" t="s">
        <v>697</v>
      </c>
      <c r="D695" s="1">
        <v>77</v>
      </c>
      <c r="E695" s="1">
        <v>77</v>
      </c>
      <c r="F695" s="1">
        <v>0</v>
      </c>
    </row>
    <row r="696" spans="1:6">
      <c r="A696" s="2">
        <v>45831</v>
      </c>
      <c r="B696" s="1" t="s">
        <v>10</v>
      </c>
      <c r="C696" s="1" t="s">
        <v>698</v>
      </c>
      <c r="D696" s="1">
        <v>99</v>
      </c>
      <c r="E696" s="1">
        <v>90</v>
      </c>
      <c r="F696" s="1">
        <v>9</v>
      </c>
    </row>
    <row r="697" spans="1:6">
      <c r="A697" s="2">
        <v>45831</v>
      </c>
      <c r="B697" s="1" t="s">
        <v>12</v>
      </c>
      <c r="C697" s="1" t="s">
        <v>699</v>
      </c>
      <c r="D697" s="1">
        <v>36</v>
      </c>
      <c r="E697" s="1">
        <v>26</v>
      </c>
      <c r="F697" s="1">
        <v>10</v>
      </c>
    </row>
    <row r="698" spans="1:6">
      <c r="A698" s="2">
        <v>45832</v>
      </c>
      <c r="B698" s="1" t="s">
        <v>6</v>
      </c>
      <c r="C698" s="1" t="s">
        <v>700</v>
      </c>
      <c r="D698" s="1">
        <v>67</v>
      </c>
      <c r="E698" s="1">
        <v>56</v>
      </c>
      <c r="F698" s="1">
        <v>11</v>
      </c>
    </row>
    <row r="699" spans="1:6">
      <c r="A699" s="2">
        <v>45832</v>
      </c>
      <c r="B699" s="1" t="s">
        <v>8</v>
      </c>
      <c r="C699" s="1" t="s">
        <v>701</v>
      </c>
      <c r="D699" s="1">
        <v>38</v>
      </c>
      <c r="E699" s="1">
        <v>29</v>
      </c>
      <c r="F699" s="1">
        <v>9</v>
      </c>
    </row>
    <row r="700" spans="1:6">
      <c r="A700" s="2">
        <v>45832</v>
      </c>
      <c r="B700" s="1" t="s">
        <v>10</v>
      </c>
      <c r="C700" s="1" t="s">
        <v>702</v>
      </c>
      <c r="D700" s="1">
        <v>71</v>
      </c>
      <c r="E700" s="1">
        <v>65</v>
      </c>
      <c r="F700" s="1">
        <v>6</v>
      </c>
    </row>
    <row r="701" spans="1:6">
      <c r="A701" s="2">
        <v>45832</v>
      </c>
      <c r="B701" s="1" t="s">
        <v>12</v>
      </c>
      <c r="C701" s="1" t="s">
        <v>703</v>
      </c>
      <c r="D701" s="1">
        <v>25</v>
      </c>
      <c r="E701" s="1">
        <v>17</v>
      </c>
      <c r="F701" s="1">
        <v>8</v>
      </c>
    </row>
    <row r="702" spans="1:6">
      <c r="A702" s="2">
        <v>45833</v>
      </c>
      <c r="B702" s="1" t="s">
        <v>6</v>
      </c>
      <c r="C702" s="1" t="s">
        <v>704</v>
      </c>
      <c r="D702" s="1">
        <v>62</v>
      </c>
      <c r="E702" s="1">
        <v>58</v>
      </c>
      <c r="F702" s="1">
        <v>4</v>
      </c>
    </row>
    <row r="703" spans="1:6">
      <c r="A703" s="2">
        <v>45833</v>
      </c>
      <c r="B703" s="1" t="s">
        <v>8</v>
      </c>
      <c r="C703" s="1" t="s">
        <v>705</v>
      </c>
      <c r="D703" s="1">
        <v>78</v>
      </c>
      <c r="E703" s="1">
        <v>58</v>
      </c>
      <c r="F703" s="1">
        <v>20</v>
      </c>
    </row>
    <row r="704" spans="1:6">
      <c r="A704" s="2">
        <v>45833</v>
      </c>
      <c r="B704" s="1" t="s">
        <v>10</v>
      </c>
      <c r="C704" s="1" t="s">
        <v>706</v>
      </c>
      <c r="D704" s="1">
        <v>37</v>
      </c>
      <c r="E704" s="1">
        <v>30</v>
      </c>
      <c r="F704" s="1">
        <v>7</v>
      </c>
    </row>
    <row r="705" spans="1:6">
      <c r="A705" s="2">
        <v>45833</v>
      </c>
      <c r="B705" s="1" t="s">
        <v>12</v>
      </c>
      <c r="C705" s="1" t="s">
        <v>707</v>
      </c>
      <c r="D705" s="1">
        <v>40</v>
      </c>
      <c r="E705" s="1">
        <v>34</v>
      </c>
      <c r="F705" s="1">
        <v>6</v>
      </c>
    </row>
    <row r="706" spans="1:6">
      <c r="A706" s="2">
        <v>45834</v>
      </c>
      <c r="B706" s="1" t="s">
        <v>6</v>
      </c>
      <c r="C706" s="1" t="s">
        <v>708</v>
      </c>
      <c r="D706" s="1">
        <v>95</v>
      </c>
      <c r="E706" s="1">
        <v>76</v>
      </c>
      <c r="F706" s="1">
        <v>19</v>
      </c>
    </row>
    <row r="707" spans="1:6">
      <c r="A707" s="2">
        <v>45834</v>
      </c>
      <c r="B707" s="1" t="s">
        <v>8</v>
      </c>
      <c r="C707" s="1" t="s">
        <v>709</v>
      </c>
      <c r="D707" s="1">
        <v>85</v>
      </c>
      <c r="E707" s="1">
        <v>76</v>
      </c>
      <c r="F707" s="1">
        <v>9</v>
      </c>
    </row>
    <row r="708" spans="1:6">
      <c r="A708" s="2">
        <v>45834</v>
      </c>
      <c r="B708" s="1" t="s">
        <v>10</v>
      </c>
      <c r="C708" s="1" t="s">
        <v>710</v>
      </c>
      <c r="D708" s="1">
        <v>92</v>
      </c>
      <c r="E708" s="1">
        <v>73</v>
      </c>
      <c r="F708" s="1">
        <v>19</v>
      </c>
    </row>
    <row r="709" spans="1:6">
      <c r="A709" s="2">
        <v>45834</v>
      </c>
      <c r="B709" s="1" t="s">
        <v>12</v>
      </c>
      <c r="C709" s="1" t="s">
        <v>711</v>
      </c>
      <c r="D709" s="1">
        <v>22</v>
      </c>
      <c r="E709" s="1">
        <v>20</v>
      </c>
      <c r="F709" s="1">
        <v>2</v>
      </c>
    </row>
    <row r="710" spans="1:6">
      <c r="A710" s="2">
        <v>45835</v>
      </c>
      <c r="B710" s="1" t="s">
        <v>6</v>
      </c>
      <c r="C710" s="1" t="s">
        <v>712</v>
      </c>
      <c r="D710" s="1">
        <v>34</v>
      </c>
      <c r="E710" s="1">
        <v>29</v>
      </c>
      <c r="F710" s="1">
        <v>5</v>
      </c>
    </row>
    <row r="711" spans="1:6">
      <c r="A711" s="2">
        <v>45835</v>
      </c>
      <c r="B711" s="1" t="s">
        <v>8</v>
      </c>
      <c r="C711" s="1" t="s">
        <v>713</v>
      </c>
      <c r="D711" s="1">
        <v>100</v>
      </c>
      <c r="E711" s="1">
        <v>70</v>
      </c>
      <c r="F711" s="1">
        <v>30</v>
      </c>
    </row>
    <row r="712" spans="1:6">
      <c r="A712" s="2">
        <v>45835</v>
      </c>
      <c r="B712" s="1" t="s">
        <v>10</v>
      </c>
      <c r="C712" s="1" t="s">
        <v>714</v>
      </c>
      <c r="D712" s="1">
        <v>53</v>
      </c>
      <c r="E712" s="1">
        <v>44</v>
      </c>
      <c r="F712" s="1">
        <v>9</v>
      </c>
    </row>
    <row r="713" spans="1:6">
      <c r="A713" s="2">
        <v>45835</v>
      </c>
      <c r="B713" s="1" t="s">
        <v>12</v>
      </c>
      <c r="C713" s="1" t="s">
        <v>715</v>
      </c>
      <c r="D713" s="1">
        <v>94</v>
      </c>
      <c r="E713" s="1">
        <v>80</v>
      </c>
      <c r="F713" s="1">
        <v>14</v>
      </c>
    </row>
    <row r="714" spans="1:6">
      <c r="A714" s="2">
        <v>45836</v>
      </c>
      <c r="B714" s="1" t="s">
        <v>6</v>
      </c>
      <c r="C714" s="1" t="s">
        <v>716</v>
      </c>
      <c r="D714" s="1">
        <v>87</v>
      </c>
      <c r="E714" s="1">
        <v>80</v>
      </c>
      <c r="F714" s="1">
        <v>7</v>
      </c>
    </row>
    <row r="715" spans="1:6">
      <c r="A715" s="2">
        <v>45836</v>
      </c>
      <c r="B715" s="1" t="s">
        <v>8</v>
      </c>
      <c r="C715" s="1" t="s">
        <v>488</v>
      </c>
      <c r="D715" s="1">
        <v>38</v>
      </c>
      <c r="E715" s="1">
        <v>36</v>
      </c>
      <c r="F715" s="1">
        <v>2</v>
      </c>
    </row>
    <row r="716" spans="1:6">
      <c r="A716" s="2">
        <v>45836</v>
      </c>
      <c r="B716" s="1" t="s">
        <v>10</v>
      </c>
      <c r="C716" s="1" t="s">
        <v>717</v>
      </c>
      <c r="D716" s="1">
        <v>24</v>
      </c>
      <c r="E716" s="1">
        <v>17</v>
      </c>
      <c r="F716" s="1">
        <v>7</v>
      </c>
    </row>
    <row r="717" spans="1:6">
      <c r="A717" s="2">
        <v>45836</v>
      </c>
      <c r="B717" s="1" t="s">
        <v>12</v>
      </c>
      <c r="C717" s="1" t="s">
        <v>718</v>
      </c>
      <c r="D717" s="1">
        <v>22</v>
      </c>
      <c r="E717" s="1">
        <v>22</v>
      </c>
      <c r="F717" s="1">
        <v>0</v>
      </c>
    </row>
    <row r="718" spans="1:6">
      <c r="A718" s="2">
        <v>45837</v>
      </c>
      <c r="B718" s="1" t="s">
        <v>6</v>
      </c>
      <c r="C718" s="1" t="s">
        <v>719</v>
      </c>
      <c r="D718" s="1">
        <v>73</v>
      </c>
      <c r="E718" s="1">
        <v>55</v>
      </c>
      <c r="F718" s="1">
        <v>18</v>
      </c>
    </row>
    <row r="719" spans="1:6">
      <c r="A719" s="2">
        <v>45837</v>
      </c>
      <c r="B719" s="1" t="s">
        <v>8</v>
      </c>
      <c r="C719" s="1" t="s">
        <v>720</v>
      </c>
      <c r="D719" s="1">
        <v>46</v>
      </c>
      <c r="E719" s="1">
        <v>38</v>
      </c>
      <c r="F719" s="1">
        <v>8</v>
      </c>
    </row>
    <row r="720" spans="1:6">
      <c r="A720" s="2">
        <v>45837</v>
      </c>
      <c r="B720" s="1" t="s">
        <v>10</v>
      </c>
      <c r="C720" s="1" t="s">
        <v>721</v>
      </c>
      <c r="D720" s="1">
        <v>98</v>
      </c>
      <c r="E720" s="1">
        <v>97</v>
      </c>
      <c r="F720" s="1">
        <v>1</v>
      </c>
    </row>
    <row r="721" spans="1:6">
      <c r="A721" s="2">
        <v>45837</v>
      </c>
      <c r="B721" s="1" t="s">
        <v>12</v>
      </c>
      <c r="C721" s="1" t="s">
        <v>722</v>
      </c>
      <c r="D721" s="1">
        <v>27</v>
      </c>
      <c r="E721" s="1">
        <v>20</v>
      </c>
      <c r="F721" s="1">
        <v>7</v>
      </c>
    </row>
    <row r="722" spans="1:6">
      <c r="A722" s="2">
        <v>45838</v>
      </c>
      <c r="B722" s="1" t="s">
        <v>6</v>
      </c>
      <c r="C722" s="1" t="s">
        <v>723</v>
      </c>
      <c r="D722" s="1">
        <v>46</v>
      </c>
      <c r="E722" s="1">
        <v>40</v>
      </c>
      <c r="F722" s="1">
        <v>6</v>
      </c>
    </row>
    <row r="723" spans="1:6">
      <c r="A723" s="2">
        <v>45838</v>
      </c>
      <c r="B723" s="1" t="s">
        <v>8</v>
      </c>
      <c r="C723" s="1" t="s">
        <v>724</v>
      </c>
      <c r="D723" s="1">
        <v>81</v>
      </c>
      <c r="E723" s="1">
        <v>72</v>
      </c>
      <c r="F723" s="1">
        <v>9</v>
      </c>
    </row>
    <row r="724" spans="1:6">
      <c r="A724" s="2">
        <v>45838</v>
      </c>
      <c r="B724" s="1" t="s">
        <v>10</v>
      </c>
      <c r="C724" s="1" t="s">
        <v>725</v>
      </c>
      <c r="D724" s="1">
        <v>60</v>
      </c>
      <c r="E724" s="1">
        <v>47</v>
      </c>
      <c r="F724" s="1">
        <v>13</v>
      </c>
    </row>
    <row r="725" spans="1:6">
      <c r="A725" s="2">
        <v>45838</v>
      </c>
      <c r="B725" s="1" t="s">
        <v>12</v>
      </c>
      <c r="C725" s="1" t="s">
        <v>726</v>
      </c>
      <c r="D725" s="1">
        <v>88</v>
      </c>
      <c r="E725" s="1">
        <v>71</v>
      </c>
      <c r="F725" s="1">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057C-27D3-4D23-BA4A-01B29025AC1C}">
  <dimension ref="A2:O11"/>
  <sheetViews>
    <sheetView workbookViewId="0">
      <selection activeCell="N22" sqref="N22"/>
    </sheetView>
  </sheetViews>
  <sheetFormatPr defaultRowHeight="14.4"/>
  <cols>
    <col min="1" max="1" width="13" bestFit="1" customWidth="1"/>
    <col min="2" max="2" width="16.109375" bestFit="1" customWidth="1"/>
    <col min="3" max="4" width="6.21875" bestFit="1" customWidth="1"/>
    <col min="5" max="5" width="6.109375" bestFit="1" customWidth="1"/>
    <col min="6" max="6" width="6.44140625" bestFit="1" customWidth="1"/>
    <col min="7" max="7" width="6.21875" bestFit="1" customWidth="1"/>
    <col min="8" max="8" width="13.109375" bestFit="1" customWidth="1"/>
    <col min="9" max="10" width="6.21875" bestFit="1" customWidth="1"/>
    <col min="11" max="11" width="6.109375" bestFit="1" customWidth="1"/>
    <col min="12" max="12" width="6.44140625" bestFit="1" customWidth="1"/>
    <col min="13" max="13" width="6.21875" bestFit="1" customWidth="1"/>
    <col min="14" max="14" width="18.88671875" bestFit="1" customWidth="1"/>
    <col min="15" max="15" width="18.33203125" bestFit="1" customWidth="1"/>
    <col min="16" max="16" width="14.33203125" bestFit="1" customWidth="1"/>
    <col min="17" max="17" width="17.88671875" bestFit="1" customWidth="1"/>
    <col min="18" max="18" width="14.33203125" bestFit="1" customWidth="1"/>
    <col min="19" max="19" width="17.88671875" bestFit="1" customWidth="1"/>
    <col min="20" max="20" width="14.33203125" bestFit="1" customWidth="1"/>
    <col min="21" max="21" width="17.88671875" bestFit="1" customWidth="1"/>
    <col min="22" max="22" width="14.33203125" bestFit="1" customWidth="1"/>
    <col min="23" max="23" width="17.88671875" bestFit="1" customWidth="1"/>
    <col min="24" max="24" width="14.33203125" bestFit="1" customWidth="1"/>
    <col min="25" max="25" width="17.88671875" bestFit="1" customWidth="1"/>
    <col min="26" max="26" width="14.33203125" bestFit="1" customWidth="1"/>
    <col min="27" max="27" width="17.88671875" bestFit="1" customWidth="1"/>
    <col min="28" max="28" width="14.33203125" bestFit="1" customWidth="1"/>
    <col min="29" max="29" width="17.88671875" bestFit="1" customWidth="1"/>
    <col min="30" max="30" width="14.33203125" bestFit="1" customWidth="1"/>
    <col min="31" max="31" width="17.88671875" bestFit="1" customWidth="1"/>
    <col min="32" max="32" width="14.33203125" bestFit="1" customWidth="1"/>
    <col min="33" max="33" width="17.88671875" bestFit="1" customWidth="1"/>
    <col min="34" max="34" width="14.33203125" bestFit="1" customWidth="1"/>
    <col min="35" max="35" width="17.88671875" bestFit="1" customWidth="1"/>
    <col min="36" max="36" width="14.33203125" bestFit="1" customWidth="1"/>
    <col min="37" max="37" width="17.88671875" bestFit="1" customWidth="1"/>
    <col min="38" max="38" width="14.33203125" bestFit="1" customWidth="1"/>
    <col min="39" max="39" width="17.88671875" bestFit="1" customWidth="1"/>
    <col min="40" max="40" width="14.33203125" bestFit="1" customWidth="1"/>
    <col min="41" max="41" width="17.88671875" bestFit="1" customWidth="1"/>
    <col min="42" max="42" width="14.33203125" bestFit="1" customWidth="1"/>
    <col min="43" max="43" width="17.88671875" bestFit="1" customWidth="1"/>
    <col min="44" max="44" width="14.33203125" bestFit="1" customWidth="1"/>
    <col min="45" max="45" width="17.88671875" bestFit="1" customWidth="1"/>
    <col min="46" max="46" width="14.33203125" bestFit="1" customWidth="1"/>
    <col min="47" max="47" width="17.88671875" bestFit="1" customWidth="1"/>
    <col min="48" max="48" width="14.33203125" bestFit="1" customWidth="1"/>
    <col min="49" max="49" width="17.88671875" bestFit="1" customWidth="1"/>
    <col min="50" max="50" width="14.33203125" bestFit="1" customWidth="1"/>
    <col min="51" max="51" width="17.88671875" bestFit="1" customWidth="1"/>
    <col min="52" max="52" width="14.33203125" bestFit="1" customWidth="1"/>
    <col min="53" max="53" width="17.88671875" bestFit="1" customWidth="1"/>
    <col min="54" max="54" width="14.33203125" bestFit="1" customWidth="1"/>
    <col min="55" max="55" width="17.88671875" bestFit="1" customWidth="1"/>
    <col min="56" max="56" width="14.33203125" bestFit="1" customWidth="1"/>
    <col min="57" max="57" width="17.88671875" bestFit="1" customWidth="1"/>
    <col min="58" max="58" width="14.33203125" bestFit="1" customWidth="1"/>
    <col min="59" max="59" width="17.88671875" bestFit="1" customWidth="1"/>
    <col min="60" max="60" width="14.33203125" bestFit="1" customWidth="1"/>
    <col min="61" max="61" width="17.88671875" bestFit="1" customWidth="1"/>
    <col min="62" max="62" width="14.33203125" bestFit="1" customWidth="1"/>
    <col min="63" max="63" width="17.88671875" bestFit="1" customWidth="1"/>
    <col min="64" max="64" width="14.33203125" bestFit="1" customWidth="1"/>
    <col min="65" max="65" width="17.88671875" bestFit="1" customWidth="1"/>
    <col min="66" max="66" width="14.33203125" bestFit="1" customWidth="1"/>
    <col min="67" max="67" width="17.88671875" bestFit="1" customWidth="1"/>
    <col min="68" max="68" width="14.33203125" bestFit="1" customWidth="1"/>
    <col min="69" max="69" width="17.88671875" bestFit="1" customWidth="1"/>
    <col min="70" max="70" width="14.33203125" bestFit="1" customWidth="1"/>
    <col min="71" max="71" width="17.88671875" bestFit="1" customWidth="1"/>
    <col min="72" max="72" width="14.33203125" bestFit="1" customWidth="1"/>
    <col min="73" max="73" width="17.88671875" bestFit="1" customWidth="1"/>
    <col min="74" max="74" width="14.33203125" bestFit="1" customWidth="1"/>
    <col min="75" max="75" width="17.88671875" bestFit="1" customWidth="1"/>
    <col min="76" max="76" width="14.33203125" bestFit="1" customWidth="1"/>
    <col min="77" max="77" width="17.88671875" bestFit="1" customWidth="1"/>
    <col min="78" max="78" width="14.33203125" bestFit="1" customWidth="1"/>
    <col min="79" max="79" width="17.88671875" bestFit="1" customWidth="1"/>
    <col min="80" max="80" width="14.33203125" bestFit="1" customWidth="1"/>
    <col min="81" max="81" width="17.88671875" bestFit="1" customWidth="1"/>
    <col min="82" max="82" width="14.33203125" bestFit="1" customWidth="1"/>
    <col min="83" max="83" width="17.88671875" bestFit="1" customWidth="1"/>
    <col min="84" max="84" width="14.33203125" bestFit="1" customWidth="1"/>
    <col min="85" max="85" width="17.88671875" bestFit="1" customWidth="1"/>
    <col min="86" max="86" width="14.33203125" bestFit="1" customWidth="1"/>
    <col min="87" max="87" width="17.88671875" bestFit="1" customWidth="1"/>
    <col min="88" max="88" width="14.33203125" bestFit="1" customWidth="1"/>
    <col min="89" max="89" width="17.88671875" bestFit="1" customWidth="1"/>
    <col min="90" max="90" width="14.33203125" bestFit="1" customWidth="1"/>
    <col min="91" max="91" width="17.88671875" bestFit="1" customWidth="1"/>
    <col min="92" max="92" width="14.33203125" bestFit="1" customWidth="1"/>
    <col min="93" max="93" width="17.88671875" bestFit="1" customWidth="1"/>
    <col min="94" max="94" width="14.33203125" bestFit="1" customWidth="1"/>
    <col min="95" max="95" width="17.88671875" bestFit="1" customWidth="1"/>
    <col min="96" max="96" width="14.33203125" bestFit="1" customWidth="1"/>
    <col min="97" max="97" width="17.88671875" bestFit="1" customWidth="1"/>
    <col min="98" max="98" width="14.33203125" bestFit="1" customWidth="1"/>
    <col min="99" max="99" width="17.88671875" bestFit="1" customWidth="1"/>
    <col min="100" max="100" width="14.33203125" bestFit="1" customWidth="1"/>
    <col min="101" max="101" width="17.88671875" bestFit="1" customWidth="1"/>
    <col min="102" max="102" width="14.33203125" bestFit="1" customWidth="1"/>
    <col min="103" max="103" width="17.88671875" bestFit="1" customWidth="1"/>
    <col min="104" max="104" width="14.33203125" bestFit="1" customWidth="1"/>
    <col min="105" max="105" width="17.88671875" bestFit="1" customWidth="1"/>
    <col min="106" max="106" width="14.33203125" bestFit="1" customWidth="1"/>
    <col min="107" max="107" width="17.88671875" bestFit="1" customWidth="1"/>
    <col min="108" max="108" width="14.33203125" bestFit="1" customWidth="1"/>
    <col min="109" max="109" width="17.88671875" bestFit="1" customWidth="1"/>
    <col min="110" max="110" width="14.33203125" bestFit="1" customWidth="1"/>
    <col min="111" max="111" width="17.88671875" bestFit="1" customWidth="1"/>
    <col min="112" max="112" width="14.33203125" bestFit="1" customWidth="1"/>
    <col min="113" max="113" width="17.88671875" bestFit="1" customWidth="1"/>
    <col min="114" max="114" width="14.33203125" bestFit="1" customWidth="1"/>
    <col min="115" max="115" width="17.88671875" bestFit="1" customWidth="1"/>
    <col min="116" max="116" width="14.33203125" bestFit="1" customWidth="1"/>
    <col min="117" max="117" width="17.88671875" bestFit="1" customWidth="1"/>
    <col min="118" max="118" width="14.33203125" bestFit="1" customWidth="1"/>
    <col min="119" max="119" width="17.88671875" bestFit="1" customWidth="1"/>
    <col min="120" max="120" width="14.33203125" bestFit="1" customWidth="1"/>
    <col min="121" max="121" width="17.88671875" bestFit="1" customWidth="1"/>
    <col min="122" max="122" width="14.33203125" bestFit="1" customWidth="1"/>
    <col min="123" max="123" width="17.88671875" bestFit="1" customWidth="1"/>
    <col min="124" max="124" width="14.33203125" bestFit="1" customWidth="1"/>
    <col min="125" max="125" width="17.88671875" bestFit="1" customWidth="1"/>
    <col min="126" max="126" width="14.33203125" bestFit="1" customWidth="1"/>
    <col min="127" max="127" width="17.88671875" bestFit="1" customWidth="1"/>
    <col min="128" max="128" width="14.33203125" bestFit="1" customWidth="1"/>
    <col min="129" max="129" width="17.88671875" bestFit="1" customWidth="1"/>
    <col min="130" max="130" width="14.33203125" bestFit="1" customWidth="1"/>
    <col min="131" max="131" width="17.88671875" bestFit="1" customWidth="1"/>
    <col min="132" max="132" width="14.33203125" bestFit="1" customWidth="1"/>
    <col min="133" max="133" width="17.88671875" bestFit="1" customWidth="1"/>
    <col min="134" max="134" width="14.33203125" bestFit="1" customWidth="1"/>
    <col min="135" max="135" width="17.88671875" bestFit="1" customWidth="1"/>
    <col min="136" max="136" width="14.33203125" bestFit="1" customWidth="1"/>
    <col min="137" max="137" width="17.88671875" bestFit="1" customWidth="1"/>
    <col min="138" max="138" width="14.33203125" bestFit="1" customWidth="1"/>
    <col min="139" max="139" width="17.88671875" bestFit="1" customWidth="1"/>
    <col min="140" max="140" width="14.33203125" bestFit="1" customWidth="1"/>
    <col min="141" max="141" width="17.88671875" bestFit="1" customWidth="1"/>
    <col min="142" max="142" width="14.33203125" bestFit="1" customWidth="1"/>
    <col min="143" max="143" width="17.88671875" bestFit="1" customWidth="1"/>
    <col min="144" max="144" width="14.33203125" bestFit="1" customWidth="1"/>
    <col min="145" max="145" width="17.88671875" bestFit="1" customWidth="1"/>
    <col min="146" max="146" width="14.33203125" bestFit="1" customWidth="1"/>
    <col min="147" max="147" width="17.88671875" bestFit="1" customWidth="1"/>
    <col min="148" max="148" width="14.33203125" bestFit="1" customWidth="1"/>
    <col min="149" max="149" width="17.88671875" bestFit="1" customWidth="1"/>
    <col min="150" max="150" width="14.33203125" bestFit="1" customWidth="1"/>
    <col min="151" max="151" width="17.88671875" bestFit="1" customWidth="1"/>
    <col min="152" max="152" width="14.33203125" bestFit="1" customWidth="1"/>
    <col min="153" max="153" width="17.88671875" bestFit="1" customWidth="1"/>
    <col min="154" max="154" width="14.33203125" bestFit="1" customWidth="1"/>
    <col min="155" max="155" width="17.88671875" bestFit="1" customWidth="1"/>
    <col min="156" max="156" width="14.33203125" bestFit="1" customWidth="1"/>
    <col min="157" max="157" width="17.88671875" bestFit="1" customWidth="1"/>
    <col min="158" max="158" width="14.33203125" bestFit="1" customWidth="1"/>
    <col min="159" max="159" width="17.88671875" bestFit="1" customWidth="1"/>
    <col min="160" max="160" width="14.33203125" bestFit="1" customWidth="1"/>
    <col min="161" max="161" width="17.88671875" bestFit="1" customWidth="1"/>
    <col min="162" max="162" width="14.33203125" bestFit="1" customWidth="1"/>
    <col min="163" max="163" width="17.88671875" bestFit="1" customWidth="1"/>
    <col min="164" max="164" width="14.33203125" bestFit="1" customWidth="1"/>
    <col min="165" max="165" width="17.88671875" bestFit="1" customWidth="1"/>
    <col min="166" max="166" width="14.33203125" bestFit="1" customWidth="1"/>
    <col min="167" max="167" width="17.88671875" bestFit="1" customWidth="1"/>
    <col min="168" max="168" width="14.33203125" bestFit="1" customWidth="1"/>
    <col min="169" max="169" width="17.88671875" bestFit="1" customWidth="1"/>
    <col min="170" max="170" width="14.33203125" bestFit="1" customWidth="1"/>
    <col min="171" max="171" width="17.88671875" bestFit="1" customWidth="1"/>
    <col min="172" max="172" width="14.33203125" bestFit="1" customWidth="1"/>
    <col min="173" max="173" width="17.88671875" bestFit="1" customWidth="1"/>
    <col min="174" max="174" width="14.33203125" bestFit="1" customWidth="1"/>
    <col min="175" max="175" width="17.88671875" bestFit="1" customWidth="1"/>
    <col min="176" max="176" width="14.33203125" bestFit="1" customWidth="1"/>
    <col min="177" max="177" width="17.88671875" bestFit="1" customWidth="1"/>
    <col min="178" max="178" width="14.33203125" bestFit="1" customWidth="1"/>
    <col min="179" max="179" width="17.88671875" bestFit="1" customWidth="1"/>
    <col min="180" max="180" width="14.33203125" bestFit="1" customWidth="1"/>
    <col min="181" max="181" width="17.88671875" bestFit="1" customWidth="1"/>
    <col min="182" max="182" width="14.33203125" bestFit="1" customWidth="1"/>
    <col min="183" max="183" width="17.88671875" bestFit="1" customWidth="1"/>
    <col min="184" max="184" width="14.33203125" bestFit="1" customWidth="1"/>
    <col min="185" max="185" width="17.88671875" bestFit="1" customWidth="1"/>
    <col min="186" max="186" width="14.33203125" bestFit="1" customWidth="1"/>
    <col min="187" max="187" width="17.88671875" bestFit="1" customWidth="1"/>
    <col min="188" max="188" width="14.33203125" bestFit="1" customWidth="1"/>
    <col min="189" max="189" width="17.88671875" bestFit="1" customWidth="1"/>
    <col min="190" max="190" width="14.33203125" bestFit="1" customWidth="1"/>
    <col min="191" max="191" width="17.88671875" bestFit="1" customWidth="1"/>
    <col min="192" max="192" width="14.33203125" bestFit="1" customWidth="1"/>
    <col min="193" max="193" width="17.88671875" bestFit="1" customWidth="1"/>
    <col min="194" max="194" width="14.33203125" bestFit="1" customWidth="1"/>
    <col min="195" max="195" width="17.88671875" bestFit="1" customWidth="1"/>
    <col min="196" max="196" width="14.33203125" bestFit="1" customWidth="1"/>
    <col min="197" max="197" width="17.88671875" bestFit="1" customWidth="1"/>
    <col min="198" max="198" width="14.33203125" bestFit="1" customWidth="1"/>
    <col min="199" max="199" width="17.88671875" bestFit="1" customWidth="1"/>
    <col min="200" max="200" width="14.33203125" bestFit="1" customWidth="1"/>
    <col min="201" max="201" width="17.88671875" bestFit="1" customWidth="1"/>
    <col min="202" max="202" width="14.33203125" bestFit="1" customWidth="1"/>
    <col min="203" max="203" width="17.88671875" bestFit="1" customWidth="1"/>
    <col min="204" max="204" width="14.33203125" bestFit="1" customWidth="1"/>
    <col min="205" max="205" width="17.88671875" bestFit="1" customWidth="1"/>
    <col min="206" max="206" width="14.33203125" bestFit="1" customWidth="1"/>
    <col min="207" max="207" width="17.88671875" bestFit="1" customWidth="1"/>
    <col min="208" max="208" width="14.33203125" bestFit="1" customWidth="1"/>
    <col min="209" max="209" width="17.88671875" bestFit="1" customWidth="1"/>
    <col min="210" max="210" width="14.33203125" bestFit="1" customWidth="1"/>
    <col min="211" max="211" width="17.88671875" bestFit="1" customWidth="1"/>
    <col min="212" max="212" width="14.33203125" bestFit="1" customWidth="1"/>
    <col min="213" max="213" width="17.88671875" bestFit="1" customWidth="1"/>
    <col min="214" max="214" width="14.33203125" bestFit="1" customWidth="1"/>
    <col min="215" max="215" width="17.88671875" bestFit="1" customWidth="1"/>
    <col min="216" max="216" width="14.33203125" bestFit="1" customWidth="1"/>
    <col min="217" max="217" width="17.88671875" bestFit="1" customWidth="1"/>
    <col min="218" max="218" width="14.33203125" bestFit="1" customWidth="1"/>
    <col min="219" max="219" width="17.88671875" bestFit="1" customWidth="1"/>
    <col min="220" max="220" width="14.33203125" bestFit="1" customWidth="1"/>
    <col min="221" max="221" width="17.88671875" bestFit="1" customWidth="1"/>
    <col min="222" max="222" width="14.33203125" bestFit="1" customWidth="1"/>
    <col min="223" max="223" width="17.88671875" bestFit="1" customWidth="1"/>
    <col min="224" max="224" width="14.33203125" bestFit="1" customWidth="1"/>
    <col min="225" max="225" width="17.88671875" bestFit="1" customWidth="1"/>
    <col min="226" max="226" width="14.33203125" bestFit="1" customWidth="1"/>
    <col min="227" max="227" width="17.88671875" bestFit="1" customWidth="1"/>
    <col min="228" max="228" width="14.33203125" bestFit="1" customWidth="1"/>
    <col min="229" max="229" width="17.88671875" bestFit="1" customWidth="1"/>
    <col min="230" max="230" width="14.33203125" bestFit="1" customWidth="1"/>
    <col min="231" max="231" width="17.88671875" bestFit="1" customWidth="1"/>
    <col min="232" max="232" width="14.33203125" bestFit="1" customWidth="1"/>
    <col min="233" max="233" width="17.88671875" bestFit="1" customWidth="1"/>
    <col min="234" max="234" width="14.33203125" bestFit="1" customWidth="1"/>
    <col min="235" max="235" width="17.88671875" bestFit="1" customWidth="1"/>
    <col min="236" max="236" width="14.33203125" bestFit="1" customWidth="1"/>
    <col min="237" max="237" width="17.88671875" bestFit="1" customWidth="1"/>
    <col min="238" max="238" width="14.33203125" bestFit="1" customWidth="1"/>
    <col min="239" max="239" width="17.88671875" bestFit="1" customWidth="1"/>
    <col min="240" max="240" width="14.33203125" bestFit="1" customWidth="1"/>
    <col min="241" max="241" width="17.88671875" bestFit="1" customWidth="1"/>
    <col min="242" max="242" width="14.33203125" bestFit="1" customWidth="1"/>
    <col min="243" max="243" width="17.88671875" bestFit="1" customWidth="1"/>
    <col min="244" max="244" width="14.33203125" bestFit="1" customWidth="1"/>
    <col min="245" max="245" width="17.88671875" bestFit="1" customWidth="1"/>
    <col min="246" max="246" width="14.33203125" bestFit="1" customWidth="1"/>
    <col min="247" max="247" width="17.88671875" bestFit="1" customWidth="1"/>
    <col min="248" max="248" width="14.33203125" bestFit="1" customWidth="1"/>
    <col min="249" max="249" width="17.88671875" bestFit="1" customWidth="1"/>
    <col min="250" max="250" width="14.33203125" bestFit="1" customWidth="1"/>
    <col min="251" max="251" width="17.88671875" bestFit="1" customWidth="1"/>
    <col min="252" max="252" width="14.33203125" bestFit="1" customWidth="1"/>
    <col min="253" max="253" width="17.88671875" bestFit="1" customWidth="1"/>
    <col min="254" max="254" width="14.33203125" bestFit="1" customWidth="1"/>
    <col min="255" max="255" width="17.88671875" bestFit="1" customWidth="1"/>
    <col min="256" max="256" width="14.33203125" bestFit="1" customWidth="1"/>
    <col min="257" max="257" width="17.88671875" bestFit="1" customWidth="1"/>
    <col min="258" max="258" width="14.33203125" bestFit="1" customWidth="1"/>
    <col min="259" max="259" width="17.88671875" bestFit="1" customWidth="1"/>
    <col min="260" max="260" width="14.33203125" bestFit="1" customWidth="1"/>
    <col min="261" max="261" width="17.88671875" bestFit="1" customWidth="1"/>
    <col min="262" max="262" width="14.33203125" bestFit="1" customWidth="1"/>
    <col min="263" max="263" width="17.88671875" bestFit="1" customWidth="1"/>
    <col min="264" max="264" width="14.33203125" bestFit="1" customWidth="1"/>
    <col min="265" max="265" width="17.88671875" bestFit="1" customWidth="1"/>
    <col min="266" max="266" width="14.33203125" bestFit="1" customWidth="1"/>
    <col min="267" max="267" width="17.88671875" bestFit="1" customWidth="1"/>
    <col min="268" max="268" width="14.33203125" bestFit="1" customWidth="1"/>
    <col min="269" max="269" width="17.88671875" bestFit="1" customWidth="1"/>
    <col min="270" max="270" width="14.33203125" bestFit="1" customWidth="1"/>
    <col min="271" max="271" width="17.88671875" bestFit="1" customWidth="1"/>
    <col min="272" max="272" width="14.33203125" bestFit="1" customWidth="1"/>
    <col min="273" max="273" width="17.88671875" bestFit="1" customWidth="1"/>
    <col min="274" max="274" width="14.33203125" bestFit="1" customWidth="1"/>
    <col min="275" max="275" width="17.88671875" bestFit="1" customWidth="1"/>
    <col min="276" max="276" width="14.33203125" bestFit="1" customWidth="1"/>
    <col min="277" max="277" width="17.88671875" bestFit="1" customWidth="1"/>
    <col min="278" max="278" width="14.33203125" bestFit="1" customWidth="1"/>
    <col min="279" max="279" width="17.88671875" bestFit="1" customWidth="1"/>
    <col min="280" max="280" width="14.33203125" bestFit="1" customWidth="1"/>
    <col min="281" max="281" width="17.88671875" bestFit="1" customWidth="1"/>
    <col min="282" max="282" width="14.33203125" bestFit="1" customWidth="1"/>
    <col min="283" max="283" width="17.88671875" bestFit="1" customWidth="1"/>
    <col min="284" max="284" width="14.33203125" bestFit="1" customWidth="1"/>
    <col min="285" max="285" width="17.88671875" bestFit="1" customWidth="1"/>
    <col min="286" max="286" width="14.33203125" bestFit="1" customWidth="1"/>
    <col min="287" max="287" width="17.88671875" bestFit="1" customWidth="1"/>
    <col min="288" max="288" width="14.33203125" bestFit="1" customWidth="1"/>
    <col min="289" max="289" width="17.88671875" bestFit="1" customWidth="1"/>
    <col min="290" max="290" width="14.33203125" bestFit="1" customWidth="1"/>
    <col min="291" max="291" width="17.88671875" bestFit="1" customWidth="1"/>
    <col min="292" max="292" width="14.33203125" bestFit="1" customWidth="1"/>
    <col min="293" max="293" width="17.88671875" bestFit="1" customWidth="1"/>
    <col min="294" max="294" width="14.33203125" bestFit="1" customWidth="1"/>
    <col min="295" max="295" width="17.88671875" bestFit="1" customWidth="1"/>
    <col min="296" max="296" width="14.33203125" bestFit="1" customWidth="1"/>
    <col min="297" max="297" width="17.88671875" bestFit="1" customWidth="1"/>
    <col min="298" max="298" width="14.33203125" bestFit="1" customWidth="1"/>
    <col min="299" max="299" width="17.88671875" bestFit="1" customWidth="1"/>
    <col min="300" max="300" width="14.33203125" bestFit="1" customWidth="1"/>
    <col min="301" max="301" width="17.88671875" bestFit="1" customWidth="1"/>
    <col min="302" max="302" width="14.33203125" bestFit="1" customWidth="1"/>
    <col min="303" max="303" width="17.88671875" bestFit="1" customWidth="1"/>
    <col min="304" max="304" width="14.33203125" bestFit="1" customWidth="1"/>
    <col min="305" max="305" width="17.88671875" bestFit="1" customWidth="1"/>
    <col min="306" max="306" width="14.33203125" bestFit="1" customWidth="1"/>
    <col min="307" max="307" width="17.88671875" bestFit="1" customWidth="1"/>
    <col min="308" max="308" width="14.33203125" bestFit="1" customWidth="1"/>
    <col min="309" max="309" width="17.88671875" bestFit="1" customWidth="1"/>
    <col min="310" max="310" width="14.33203125" bestFit="1" customWidth="1"/>
    <col min="311" max="311" width="17.88671875" bestFit="1" customWidth="1"/>
    <col min="312" max="312" width="14.33203125" bestFit="1" customWidth="1"/>
    <col min="313" max="313" width="17.88671875" bestFit="1" customWidth="1"/>
    <col min="314" max="314" width="14.33203125" bestFit="1" customWidth="1"/>
    <col min="315" max="315" width="17.88671875" bestFit="1" customWidth="1"/>
    <col min="316" max="316" width="14.33203125" bestFit="1" customWidth="1"/>
    <col min="317" max="317" width="17.88671875" bestFit="1" customWidth="1"/>
    <col min="318" max="318" width="14.33203125" bestFit="1" customWidth="1"/>
    <col min="319" max="319" width="17.88671875" bestFit="1" customWidth="1"/>
    <col min="320" max="320" width="14.33203125" bestFit="1" customWidth="1"/>
    <col min="321" max="321" width="17.88671875" bestFit="1" customWidth="1"/>
    <col min="322" max="322" width="14.33203125" bestFit="1" customWidth="1"/>
    <col min="323" max="323" width="17.88671875" bestFit="1" customWidth="1"/>
    <col min="324" max="324" width="14.33203125" bestFit="1" customWidth="1"/>
    <col min="325" max="325" width="17.88671875" bestFit="1" customWidth="1"/>
    <col min="326" max="326" width="14.33203125" bestFit="1" customWidth="1"/>
    <col min="327" max="327" width="17.88671875" bestFit="1" customWidth="1"/>
    <col min="328" max="328" width="14.33203125" bestFit="1" customWidth="1"/>
    <col min="329" max="329" width="17.88671875" bestFit="1" customWidth="1"/>
    <col min="330" max="330" width="14.33203125" bestFit="1" customWidth="1"/>
    <col min="331" max="331" width="17.88671875" bestFit="1" customWidth="1"/>
    <col min="332" max="332" width="14.33203125" bestFit="1" customWidth="1"/>
    <col min="333" max="333" width="17.88671875" bestFit="1" customWidth="1"/>
    <col min="334" max="334" width="14.33203125" bestFit="1" customWidth="1"/>
    <col min="335" max="335" width="17.88671875" bestFit="1" customWidth="1"/>
    <col min="336" max="336" width="14.33203125" bestFit="1" customWidth="1"/>
    <col min="337" max="337" width="17.88671875" bestFit="1" customWidth="1"/>
    <col min="338" max="338" width="14.33203125" bestFit="1" customWidth="1"/>
    <col min="339" max="339" width="17.88671875" bestFit="1" customWidth="1"/>
    <col min="340" max="340" width="14.33203125" bestFit="1" customWidth="1"/>
    <col min="341" max="341" width="17.88671875" bestFit="1" customWidth="1"/>
    <col min="342" max="342" width="14.33203125" bestFit="1" customWidth="1"/>
    <col min="343" max="343" width="17.88671875" bestFit="1" customWidth="1"/>
    <col min="344" max="344" width="14.33203125" bestFit="1" customWidth="1"/>
    <col min="345" max="345" width="17.88671875" bestFit="1" customWidth="1"/>
    <col min="346" max="346" width="14.33203125" bestFit="1" customWidth="1"/>
    <col min="347" max="347" width="17.88671875" bestFit="1" customWidth="1"/>
    <col min="348" max="348" width="14.33203125" bestFit="1" customWidth="1"/>
    <col min="349" max="349" width="17.88671875" bestFit="1" customWidth="1"/>
    <col min="350" max="350" width="14.33203125" bestFit="1" customWidth="1"/>
    <col min="351" max="351" width="17.88671875" bestFit="1" customWidth="1"/>
    <col min="352" max="352" width="14.33203125" bestFit="1" customWidth="1"/>
    <col min="353" max="353" width="17.88671875" bestFit="1" customWidth="1"/>
    <col min="354" max="354" width="14.33203125" bestFit="1" customWidth="1"/>
    <col min="355" max="355" width="17.88671875" bestFit="1" customWidth="1"/>
    <col min="356" max="356" width="14.33203125" bestFit="1" customWidth="1"/>
    <col min="357" max="357" width="17.88671875" bestFit="1" customWidth="1"/>
    <col min="358" max="358" width="14.33203125" bestFit="1" customWidth="1"/>
    <col min="359" max="359" width="17.88671875" bestFit="1" customWidth="1"/>
    <col min="360" max="360" width="14.33203125" bestFit="1" customWidth="1"/>
    <col min="361" max="361" width="17.88671875" bestFit="1" customWidth="1"/>
    <col min="362" max="362" width="14.33203125" bestFit="1" customWidth="1"/>
    <col min="363" max="363" width="17.88671875" bestFit="1" customWidth="1"/>
    <col min="364" max="364" width="14.33203125" bestFit="1" customWidth="1"/>
    <col min="365" max="365" width="17.88671875" bestFit="1" customWidth="1"/>
    <col min="366" max="366" width="14.33203125" bestFit="1" customWidth="1"/>
    <col min="367" max="367" width="17.88671875" bestFit="1" customWidth="1"/>
    <col min="368" max="368" width="14.33203125" bestFit="1" customWidth="1"/>
    <col min="369" max="369" width="17.88671875" bestFit="1" customWidth="1"/>
    <col min="370" max="370" width="14.33203125" bestFit="1" customWidth="1"/>
    <col min="371" max="371" width="17.88671875" bestFit="1" customWidth="1"/>
    <col min="372" max="372" width="14.33203125" bestFit="1" customWidth="1"/>
    <col min="373" max="373" width="17.88671875" bestFit="1" customWidth="1"/>
    <col min="374" max="374" width="14.33203125" bestFit="1" customWidth="1"/>
    <col min="375" max="375" width="17.88671875" bestFit="1" customWidth="1"/>
    <col min="376" max="376" width="14.33203125" bestFit="1" customWidth="1"/>
    <col min="377" max="377" width="17.88671875" bestFit="1" customWidth="1"/>
    <col min="378" max="378" width="14.33203125" bestFit="1" customWidth="1"/>
    <col min="379" max="379" width="17.88671875" bestFit="1" customWidth="1"/>
    <col min="380" max="380" width="14.33203125" bestFit="1" customWidth="1"/>
    <col min="381" max="381" width="17.88671875" bestFit="1" customWidth="1"/>
    <col min="382" max="382" width="14.33203125" bestFit="1" customWidth="1"/>
    <col min="383" max="383" width="17.88671875" bestFit="1" customWidth="1"/>
    <col min="384" max="384" width="14.33203125" bestFit="1" customWidth="1"/>
    <col min="385" max="385" width="17.88671875" bestFit="1" customWidth="1"/>
    <col min="386" max="386" width="14.33203125" bestFit="1" customWidth="1"/>
    <col min="387" max="387" width="17.88671875" bestFit="1" customWidth="1"/>
    <col min="388" max="388" width="14.33203125" bestFit="1" customWidth="1"/>
    <col min="389" max="389" width="17.88671875" bestFit="1" customWidth="1"/>
    <col min="390" max="390" width="14.33203125" bestFit="1" customWidth="1"/>
    <col min="391" max="391" width="17.88671875" bestFit="1" customWidth="1"/>
    <col min="392" max="392" width="14.33203125" bestFit="1" customWidth="1"/>
    <col min="393" max="393" width="17.88671875" bestFit="1" customWidth="1"/>
    <col min="394" max="394" width="14.33203125" bestFit="1" customWidth="1"/>
    <col min="395" max="395" width="17.88671875" bestFit="1" customWidth="1"/>
    <col min="396" max="396" width="14.33203125" bestFit="1" customWidth="1"/>
    <col min="397" max="397" width="17.88671875" bestFit="1" customWidth="1"/>
    <col min="398" max="398" width="14.33203125" bestFit="1" customWidth="1"/>
    <col min="399" max="399" width="17.88671875" bestFit="1" customWidth="1"/>
    <col min="400" max="400" width="14.33203125" bestFit="1" customWidth="1"/>
    <col min="401" max="401" width="17.88671875" bestFit="1" customWidth="1"/>
    <col min="402" max="402" width="14.33203125" bestFit="1" customWidth="1"/>
    <col min="403" max="403" width="17.88671875" bestFit="1" customWidth="1"/>
    <col min="404" max="404" width="14.33203125" bestFit="1" customWidth="1"/>
    <col min="405" max="405" width="17.88671875" bestFit="1" customWidth="1"/>
    <col min="406" max="406" width="14.33203125" bestFit="1" customWidth="1"/>
    <col min="407" max="407" width="17.88671875" bestFit="1" customWidth="1"/>
    <col min="408" max="408" width="14.33203125" bestFit="1" customWidth="1"/>
    <col min="409" max="409" width="17.88671875" bestFit="1" customWidth="1"/>
    <col min="410" max="410" width="14.33203125" bestFit="1" customWidth="1"/>
    <col min="411" max="411" width="17.88671875" bestFit="1" customWidth="1"/>
    <col min="412" max="412" width="14.33203125" bestFit="1" customWidth="1"/>
    <col min="413" max="413" width="17.88671875" bestFit="1" customWidth="1"/>
    <col min="414" max="414" width="14.33203125" bestFit="1" customWidth="1"/>
    <col min="415" max="415" width="17.88671875" bestFit="1" customWidth="1"/>
    <col min="416" max="416" width="14.33203125" bestFit="1" customWidth="1"/>
    <col min="417" max="417" width="17.88671875" bestFit="1" customWidth="1"/>
    <col min="418" max="418" width="14.33203125" bestFit="1" customWidth="1"/>
    <col min="419" max="419" width="17.88671875" bestFit="1" customWidth="1"/>
    <col min="420" max="420" width="14.33203125" bestFit="1" customWidth="1"/>
    <col min="421" max="421" width="17.88671875" bestFit="1" customWidth="1"/>
    <col min="422" max="422" width="14.33203125" bestFit="1" customWidth="1"/>
    <col min="423" max="423" width="17.88671875" bestFit="1" customWidth="1"/>
    <col min="424" max="424" width="14.33203125" bestFit="1" customWidth="1"/>
    <col min="425" max="425" width="17.88671875" bestFit="1" customWidth="1"/>
    <col min="426" max="426" width="14.33203125" bestFit="1" customWidth="1"/>
    <col min="427" max="427" width="17.88671875" bestFit="1" customWidth="1"/>
    <col min="428" max="428" width="14.33203125" bestFit="1" customWidth="1"/>
    <col min="429" max="429" width="17.88671875" bestFit="1" customWidth="1"/>
    <col min="430" max="430" width="14.33203125" bestFit="1" customWidth="1"/>
    <col min="431" max="431" width="17.88671875" bestFit="1" customWidth="1"/>
    <col min="432" max="432" width="14.33203125" bestFit="1" customWidth="1"/>
    <col min="433" max="433" width="17.88671875" bestFit="1" customWidth="1"/>
    <col min="434" max="434" width="14.33203125" bestFit="1" customWidth="1"/>
    <col min="435" max="435" width="17.88671875" bestFit="1" customWidth="1"/>
    <col min="436" max="436" width="14.33203125" bestFit="1" customWidth="1"/>
    <col min="437" max="437" width="17.88671875" bestFit="1" customWidth="1"/>
    <col min="438" max="438" width="14.33203125" bestFit="1" customWidth="1"/>
    <col min="439" max="439" width="17.88671875" bestFit="1" customWidth="1"/>
    <col min="440" max="440" width="14.33203125" bestFit="1" customWidth="1"/>
    <col min="441" max="441" width="17.88671875" bestFit="1" customWidth="1"/>
    <col min="442" max="442" width="14.33203125" bestFit="1" customWidth="1"/>
    <col min="443" max="443" width="17.88671875" bestFit="1" customWidth="1"/>
    <col min="444" max="444" width="14.33203125" bestFit="1" customWidth="1"/>
    <col min="445" max="445" width="17.88671875" bestFit="1" customWidth="1"/>
    <col min="446" max="446" width="14.33203125" bestFit="1" customWidth="1"/>
    <col min="447" max="447" width="17.88671875" bestFit="1" customWidth="1"/>
    <col min="448" max="448" width="14.33203125" bestFit="1" customWidth="1"/>
    <col min="449" max="449" width="17.88671875" bestFit="1" customWidth="1"/>
    <col min="450" max="450" width="14.33203125" bestFit="1" customWidth="1"/>
    <col min="451" max="451" width="17.88671875" bestFit="1" customWidth="1"/>
    <col min="452" max="452" width="14.33203125" bestFit="1" customWidth="1"/>
    <col min="453" max="453" width="17.88671875" bestFit="1" customWidth="1"/>
    <col min="454" max="454" width="14.33203125" bestFit="1" customWidth="1"/>
    <col min="455" max="455" width="17.88671875" bestFit="1" customWidth="1"/>
    <col min="456" max="456" width="14.33203125" bestFit="1" customWidth="1"/>
    <col min="457" max="457" width="17.88671875" bestFit="1" customWidth="1"/>
    <col min="458" max="458" width="14.33203125" bestFit="1" customWidth="1"/>
    <col min="459" max="459" width="17.88671875" bestFit="1" customWidth="1"/>
    <col min="460" max="460" width="14.33203125" bestFit="1" customWidth="1"/>
    <col min="461" max="461" width="17.88671875" bestFit="1" customWidth="1"/>
    <col min="462" max="462" width="14.33203125" bestFit="1" customWidth="1"/>
    <col min="463" max="463" width="17.88671875" bestFit="1" customWidth="1"/>
    <col min="464" max="464" width="14.33203125" bestFit="1" customWidth="1"/>
    <col min="465" max="465" width="17.88671875" bestFit="1" customWidth="1"/>
    <col min="466" max="466" width="14.33203125" bestFit="1" customWidth="1"/>
    <col min="467" max="467" width="17.88671875" bestFit="1" customWidth="1"/>
    <col min="468" max="468" width="14.33203125" bestFit="1" customWidth="1"/>
    <col min="469" max="469" width="17.88671875" bestFit="1" customWidth="1"/>
    <col min="470" max="470" width="14.33203125" bestFit="1" customWidth="1"/>
    <col min="471" max="471" width="17.88671875" bestFit="1" customWidth="1"/>
    <col min="472" max="472" width="14.33203125" bestFit="1" customWidth="1"/>
    <col min="473" max="473" width="17.88671875" bestFit="1" customWidth="1"/>
    <col min="474" max="474" width="14.33203125" bestFit="1" customWidth="1"/>
    <col min="475" max="475" width="17.88671875" bestFit="1" customWidth="1"/>
    <col min="476" max="476" width="14.33203125" bestFit="1" customWidth="1"/>
    <col min="477" max="477" width="17.88671875" bestFit="1" customWidth="1"/>
    <col min="478" max="478" width="14.33203125" bestFit="1" customWidth="1"/>
    <col min="479" max="479" width="17.88671875" bestFit="1" customWidth="1"/>
    <col min="480" max="480" width="14.33203125" bestFit="1" customWidth="1"/>
    <col min="481" max="481" width="17.88671875" bestFit="1" customWidth="1"/>
    <col min="482" max="482" width="14.33203125" bestFit="1" customWidth="1"/>
    <col min="483" max="483" width="17.88671875" bestFit="1" customWidth="1"/>
    <col min="484" max="484" width="14.33203125" bestFit="1" customWidth="1"/>
    <col min="485" max="485" width="17.88671875" bestFit="1" customWidth="1"/>
    <col min="486" max="486" width="14.33203125" bestFit="1" customWidth="1"/>
    <col min="487" max="487" width="17.88671875" bestFit="1" customWidth="1"/>
    <col min="488" max="488" width="14.33203125" bestFit="1" customWidth="1"/>
    <col min="489" max="489" width="17.88671875" bestFit="1" customWidth="1"/>
    <col min="490" max="490" width="14.33203125" bestFit="1" customWidth="1"/>
    <col min="491" max="491" width="17.88671875" bestFit="1" customWidth="1"/>
    <col min="492" max="492" width="14.33203125" bestFit="1" customWidth="1"/>
    <col min="493" max="493" width="17.88671875" bestFit="1" customWidth="1"/>
    <col min="494" max="494" width="14.33203125" bestFit="1" customWidth="1"/>
    <col min="495" max="495" width="17.88671875" bestFit="1" customWidth="1"/>
    <col min="496" max="496" width="14.33203125" bestFit="1" customWidth="1"/>
    <col min="497" max="497" width="17.88671875" bestFit="1" customWidth="1"/>
    <col min="498" max="498" width="14.33203125" bestFit="1" customWidth="1"/>
    <col min="499" max="499" width="17.88671875" bestFit="1" customWidth="1"/>
    <col min="500" max="500" width="14.33203125" bestFit="1" customWidth="1"/>
    <col min="501" max="501" width="17.88671875" bestFit="1" customWidth="1"/>
    <col min="502" max="502" width="14.33203125" bestFit="1" customWidth="1"/>
    <col min="503" max="503" width="17.88671875" bestFit="1" customWidth="1"/>
    <col min="504" max="504" width="14.33203125" bestFit="1" customWidth="1"/>
    <col min="505" max="505" width="17.88671875" bestFit="1" customWidth="1"/>
    <col min="506" max="506" width="14.33203125" bestFit="1" customWidth="1"/>
    <col min="507" max="507" width="17.88671875" bestFit="1" customWidth="1"/>
    <col min="508" max="508" width="14.33203125" bestFit="1" customWidth="1"/>
    <col min="509" max="509" width="17.88671875" bestFit="1" customWidth="1"/>
    <col min="510" max="510" width="14.33203125" bestFit="1" customWidth="1"/>
    <col min="511" max="511" width="17.88671875" bestFit="1" customWidth="1"/>
    <col min="512" max="512" width="14.33203125" bestFit="1" customWidth="1"/>
    <col min="513" max="513" width="17.88671875" bestFit="1" customWidth="1"/>
    <col min="514" max="514" width="14.33203125" bestFit="1" customWidth="1"/>
    <col min="515" max="515" width="17.88671875" bestFit="1" customWidth="1"/>
    <col min="516" max="516" width="14.33203125" bestFit="1" customWidth="1"/>
    <col min="517" max="517" width="17.88671875" bestFit="1" customWidth="1"/>
    <col min="518" max="518" width="14.33203125" bestFit="1" customWidth="1"/>
    <col min="519" max="519" width="17.88671875" bestFit="1" customWidth="1"/>
    <col min="520" max="520" width="14.33203125" bestFit="1" customWidth="1"/>
    <col min="521" max="521" width="17.88671875" bestFit="1" customWidth="1"/>
    <col min="522" max="522" width="14.33203125" bestFit="1" customWidth="1"/>
    <col min="523" max="523" width="17.88671875" bestFit="1" customWidth="1"/>
    <col min="524" max="524" width="14.33203125" bestFit="1" customWidth="1"/>
    <col min="525" max="525" width="17.88671875" bestFit="1" customWidth="1"/>
    <col min="526" max="526" width="14.33203125" bestFit="1" customWidth="1"/>
    <col min="527" max="527" width="17.88671875" bestFit="1" customWidth="1"/>
    <col min="528" max="528" width="14.33203125" bestFit="1" customWidth="1"/>
    <col min="529" max="529" width="17.88671875" bestFit="1" customWidth="1"/>
    <col min="530" max="530" width="14.33203125" bestFit="1" customWidth="1"/>
    <col min="531" max="531" width="17.88671875" bestFit="1" customWidth="1"/>
    <col min="532" max="532" width="14.33203125" bestFit="1" customWidth="1"/>
    <col min="533" max="533" width="17.88671875" bestFit="1" customWidth="1"/>
    <col min="534" max="534" width="14.33203125" bestFit="1" customWidth="1"/>
    <col min="535" max="535" width="17.88671875" bestFit="1" customWidth="1"/>
    <col min="536" max="536" width="14.33203125" bestFit="1" customWidth="1"/>
    <col min="537" max="537" width="17.88671875" bestFit="1" customWidth="1"/>
    <col min="538" max="538" width="14.33203125" bestFit="1" customWidth="1"/>
    <col min="539" max="539" width="17.88671875" bestFit="1" customWidth="1"/>
    <col min="540" max="540" width="14.33203125" bestFit="1" customWidth="1"/>
    <col min="541" max="541" width="17.88671875" bestFit="1" customWidth="1"/>
    <col min="542" max="542" width="14.33203125" bestFit="1" customWidth="1"/>
    <col min="543" max="543" width="17.88671875" bestFit="1" customWidth="1"/>
    <col min="544" max="544" width="14.33203125" bestFit="1" customWidth="1"/>
    <col min="545" max="545" width="17.88671875" bestFit="1" customWidth="1"/>
    <col min="546" max="546" width="14.33203125" bestFit="1" customWidth="1"/>
    <col min="547" max="547" width="17.88671875" bestFit="1" customWidth="1"/>
    <col min="548" max="548" width="14.33203125" bestFit="1" customWidth="1"/>
    <col min="549" max="549" width="17.88671875" bestFit="1" customWidth="1"/>
    <col min="550" max="550" width="14.33203125" bestFit="1" customWidth="1"/>
    <col min="551" max="551" width="17.88671875" bestFit="1" customWidth="1"/>
    <col min="552" max="552" width="14.33203125" bestFit="1" customWidth="1"/>
    <col min="553" max="553" width="17.88671875" bestFit="1" customWidth="1"/>
    <col min="554" max="554" width="14.33203125" bestFit="1" customWidth="1"/>
    <col min="555" max="555" width="17.88671875" bestFit="1" customWidth="1"/>
    <col min="556" max="556" width="14.33203125" bestFit="1" customWidth="1"/>
    <col min="557" max="557" width="17.88671875" bestFit="1" customWidth="1"/>
    <col min="558" max="558" width="14.33203125" bestFit="1" customWidth="1"/>
    <col min="559" max="559" width="17.88671875" bestFit="1" customWidth="1"/>
    <col min="560" max="560" width="14.33203125" bestFit="1" customWidth="1"/>
    <col min="561" max="561" width="17.88671875" bestFit="1" customWidth="1"/>
    <col min="562" max="562" width="14.33203125" bestFit="1" customWidth="1"/>
    <col min="563" max="563" width="17.88671875" bestFit="1" customWidth="1"/>
    <col min="564" max="564" width="14.33203125" bestFit="1" customWidth="1"/>
    <col min="565" max="565" width="17.88671875" bestFit="1" customWidth="1"/>
    <col min="566" max="566" width="14.33203125" bestFit="1" customWidth="1"/>
    <col min="567" max="567" width="17.88671875" bestFit="1" customWidth="1"/>
    <col min="568" max="568" width="14.33203125" bestFit="1" customWidth="1"/>
    <col min="569" max="569" width="17.88671875" bestFit="1" customWidth="1"/>
    <col min="570" max="570" width="14.33203125" bestFit="1" customWidth="1"/>
    <col min="571" max="571" width="17.88671875" bestFit="1" customWidth="1"/>
    <col min="572" max="572" width="14.33203125" bestFit="1" customWidth="1"/>
    <col min="573" max="573" width="17.88671875" bestFit="1" customWidth="1"/>
    <col min="574" max="574" width="14.33203125" bestFit="1" customWidth="1"/>
    <col min="575" max="575" width="17.88671875" bestFit="1" customWidth="1"/>
    <col min="576" max="576" width="14.33203125" bestFit="1" customWidth="1"/>
    <col min="577" max="577" width="17.88671875" bestFit="1" customWidth="1"/>
    <col min="578" max="578" width="14.33203125" bestFit="1" customWidth="1"/>
    <col min="579" max="579" width="17.88671875" bestFit="1" customWidth="1"/>
    <col min="580" max="580" width="14.33203125" bestFit="1" customWidth="1"/>
    <col min="581" max="581" width="17.88671875" bestFit="1" customWidth="1"/>
    <col min="582" max="582" width="14.33203125" bestFit="1" customWidth="1"/>
    <col min="583" max="583" width="17.88671875" bestFit="1" customWidth="1"/>
    <col min="584" max="584" width="14.33203125" bestFit="1" customWidth="1"/>
    <col min="585" max="585" width="17.88671875" bestFit="1" customWidth="1"/>
    <col min="586" max="586" width="14.33203125" bestFit="1" customWidth="1"/>
    <col min="587" max="587" width="17.88671875" bestFit="1" customWidth="1"/>
    <col min="588" max="588" width="14.33203125" bestFit="1" customWidth="1"/>
    <col min="589" max="589" width="17.88671875" bestFit="1" customWidth="1"/>
    <col min="590" max="590" width="14.33203125" bestFit="1" customWidth="1"/>
    <col min="591" max="591" width="17.88671875" bestFit="1" customWidth="1"/>
    <col min="592" max="592" width="14.33203125" bestFit="1" customWidth="1"/>
    <col min="593" max="593" width="17.88671875" bestFit="1" customWidth="1"/>
    <col min="594" max="594" width="14.33203125" bestFit="1" customWidth="1"/>
    <col min="595" max="595" width="17.88671875" bestFit="1" customWidth="1"/>
    <col min="596" max="596" width="14.33203125" bestFit="1" customWidth="1"/>
    <col min="597" max="597" width="17.88671875" bestFit="1" customWidth="1"/>
    <col min="598" max="598" width="14.33203125" bestFit="1" customWidth="1"/>
    <col min="599" max="599" width="17.88671875" bestFit="1" customWidth="1"/>
    <col min="600" max="600" width="14.33203125" bestFit="1" customWidth="1"/>
    <col min="601" max="601" width="17.88671875" bestFit="1" customWidth="1"/>
    <col min="602" max="602" width="14.33203125" bestFit="1" customWidth="1"/>
    <col min="603" max="603" width="17.88671875" bestFit="1" customWidth="1"/>
    <col min="604" max="604" width="14.33203125" bestFit="1" customWidth="1"/>
    <col min="605" max="605" width="17.88671875" bestFit="1" customWidth="1"/>
    <col min="606" max="606" width="14.33203125" bestFit="1" customWidth="1"/>
    <col min="607" max="607" width="17.88671875" bestFit="1" customWidth="1"/>
    <col min="608" max="608" width="14.33203125" bestFit="1" customWidth="1"/>
    <col min="609" max="609" width="17.88671875" bestFit="1" customWidth="1"/>
    <col min="610" max="610" width="14.33203125" bestFit="1" customWidth="1"/>
    <col min="611" max="611" width="17.88671875" bestFit="1" customWidth="1"/>
    <col min="612" max="612" width="14.33203125" bestFit="1" customWidth="1"/>
    <col min="613" max="613" width="17.88671875" bestFit="1" customWidth="1"/>
    <col min="614" max="614" width="14.33203125" bestFit="1" customWidth="1"/>
    <col min="615" max="615" width="17.88671875" bestFit="1" customWidth="1"/>
    <col min="616" max="616" width="14.33203125" bestFit="1" customWidth="1"/>
    <col min="617" max="617" width="17.88671875" bestFit="1" customWidth="1"/>
    <col min="618" max="618" width="14.33203125" bestFit="1" customWidth="1"/>
    <col min="619" max="619" width="17.88671875" bestFit="1" customWidth="1"/>
    <col min="620" max="620" width="14.33203125" bestFit="1" customWidth="1"/>
    <col min="621" max="621" width="17.88671875" bestFit="1" customWidth="1"/>
    <col min="622" max="622" width="14.33203125" bestFit="1" customWidth="1"/>
    <col min="623" max="623" width="17.88671875" bestFit="1" customWidth="1"/>
    <col min="624" max="624" width="14.33203125" bestFit="1" customWidth="1"/>
    <col min="625" max="625" width="17.88671875" bestFit="1" customWidth="1"/>
    <col min="626" max="626" width="14.33203125" bestFit="1" customWidth="1"/>
    <col min="627" max="627" width="17.88671875" bestFit="1" customWidth="1"/>
    <col min="628" max="628" width="14.33203125" bestFit="1" customWidth="1"/>
    <col min="629" max="629" width="17.88671875" bestFit="1" customWidth="1"/>
    <col min="630" max="630" width="14.33203125" bestFit="1" customWidth="1"/>
    <col min="631" max="631" width="17.88671875" bestFit="1" customWidth="1"/>
    <col min="632" max="632" width="14.33203125" bestFit="1" customWidth="1"/>
    <col min="633" max="633" width="17.88671875" bestFit="1" customWidth="1"/>
    <col min="634" max="634" width="14.33203125" bestFit="1" customWidth="1"/>
    <col min="635" max="635" width="17.88671875" bestFit="1" customWidth="1"/>
    <col min="636" max="636" width="14.33203125" bestFit="1" customWidth="1"/>
    <col min="637" max="637" width="17.88671875" bestFit="1" customWidth="1"/>
    <col min="638" max="638" width="14.33203125" bestFit="1" customWidth="1"/>
    <col min="639" max="639" width="17.88671875" bestFit="1" customWidth="1"/>
    <col min="640" max="640" width="14.33203125" bestFit="1" customWidth="1"/>
    <col min="641" max="641" width="17.88671875" bestFit="1" customWidth="1"/>
    <col min="642" max="642" width="14.33203125" bestFit="1" customWidth="1"/>
    <col min="643" max="643" width="17.88671875" bestFit="1" customWidth="1"/>
    <col min="644" max="644" width="14.33203125" bestFit="1" customWidth="1"/>
    <col min="645" max="645" width="17.88671875" bestFit="1" customWidth="1"/>
    <col min="646" max="646" width="14.33203125" bestFit="1" customWidth="1"/>
    <col min="647" max="647" width="17.88671875" bestFit="1" customWidth="1"/>
    <col min="648" max="648" width="14.33203125" bestFit="1" customWidth="1"/>
    <col min="649" max="649" width="17.88671875" bestFit="1" customWidth="1"/>
    <col min="650" max="650" width="14.33203125" bestFit="1" customWidth="1"/>
    <col min="651" max="651" width="17.88671875" bestFit="1" customWidth="1"/>
    <col min="652" max="652" width="14.33203125" bestFit="1" customWidth="1"/>
    <col min="653" max="653" width="17.88671875" bestFit="1" customWidth="1"/>
    <col min="654" max="654" width="14.33203125" bestFit="1" customWidth="1"/>
    <col min="655" max="655" width="17.88671875" bestFit="1" customWidth="1"/>
    <col min="656" max="656" width="14.33203125" bestFit="1" customWidth="1"/>
    <col min="657" max="657" width="17.88671875" bestFit="1" customWidth="1"/>
    <col min="658" max="658" width="14.33203125" bestFit="1" customWidth="1"/>
    <col min="659" max="659" width="17.88671875" bestFit="1" customWidth="1"/>
    <col min="660" max="660" width="14.33203125" bestFit="1" customWidth="1"/>
    <col min="661" max="661" width="17.88671875" bestFit="1" customWidth="1"/>
    <col min="662" max="662" width="14.33203125" bestFit="1" customWidth="1"/>
    <col min="663" max="663" width="17.88671875" bestFit="1" customWidth="1"/>
    <col min="664" max="664" width="14.33203125" bestFit="1" customWidth="1"/>
    <col min="665" max="665" width="17.88671875" bestFit="1" customWidth="1"/>
    <col min="666" max="666" width="14.33203125" bestFit="1" customWidth="1"/>
    <col min="667" max="667" width="17.88671875" bestFit="1" customWidth="1"/>
    <col min="668" max="668" width="14.33203125" bestFit="1" customWidth="1"/>
    <col min="669" max="669" width="17.88671875" bestFit="1" customWidth="1"/>
    <col min="670" max="670" width="14.33203125" bestFit="1" customWidth="1"/>
    <col min="671" max="671" width="17.88671875" bestFit="1" customWidth="1"/>
    <col min="672" max="672" width="14.33203125" bestFit="1" customWidth="1"/>
    <col min="673" max="673" width="17.88671875" bestFit="1" customWidth="1"/>
    <col min="674" max="674" width="14.33203125" bestFit="1" customWidth="1"/>
    <col min="675" max="675" width="17.88671875" bestFit="1" customWidth="1"/>
    <col min="676" max="676" width="14.33203125" bestFit="1" customWidth="1"/>
    <col min="677" max="677" width="17.88671875" bestFit="1" customWidth="1"/>
    <col min="678" max="678" width="14.33203125" bestFit="1" customWidth="1"/>
    <col min="679" max="679" width="17.88671875" bestFit="1" customWidth="1"/>
    <col min="680" max="680" width="14.33203125" bestFit="1" customWidth="1"/>
    <col min="681" max="681" width="17.88671875" bestFit="1" customWidth="1"/>
    <col min="682" max="682" width="14.33203125" bestFit="1" customWidth="1"/>
    <col min="683" max="683" width="17.88671875" bestFit="1" customWidth="1"/>
    <col min="684" max="684" width="14.33203125" bestFit="1" customWidth="1"/>
    <col min="685" max="685" width="17.88671875" bestFit="1" customWidth="1"/>
    <col min="686" max="686" width="14.33203125" bestFit="1" customWidth="1"/>
    <col min="687" max="687" width="17.88671875" bestFit="1" customWidth="1"/>
    <col min="688" max="688" width="14.33203125" bestFit="1" customWidth="1"/>
    <col min="689" max="689" width="17.88671875" bestFit="1" customWidth="1"/>
    <col min="690" max="690" width="14.33203125" bestFit="1" customWidth="1"/>
    <col min="691" max="691" width="17.88671875" bestFit="1" customWidth="1"/>
    <col min="692" max="692" width="14.33203125" bestFit="1" customWidth="1"/>
    <col min="693" max="693" width="17.88671875" bestFit="1" customWidth="1"/>
    <col min="694" max="694" width="14.33203125" bestFit="1" customWidth="1"/>
    <col min="695" max="695" width="17.88671875" bestFit="1" customWidth="1"/>
    <col min="696" max="696" width="14.33203125" bestFit="1" customWidth="1"/>
    <col min="697" max="697" width="17.88671875" bestFit="1" customWidth="1"/>
    <col min="698" max="698" width="14.33203125" bestFit="1" customWidth="1"/>
    <col min="699" max="699" width="17.88671875" bestFit="1" customWidth="1"/>
    <col min="700" max="700" width="14.33203125" bestFit="1" customWidth="1"/>
    <col min="701" max="701" width="17.88671875" bestFit="1" customWidth="1"/>
    <col min="702" max="702" width="14.33203125" bestFit="1" customWidth="1"/>
    <col min="703" max="703" width="17.88671875" bestFit="1" customWidth="1"/>
    <col min="704" max="704" width="14.33203125" bestFit="1" customWidth="1"/>
    <col min="705" max="705" width="17.88671875" bestFit="1" customWidth="1"/>
    <col min="706" max="706" width="14.33203125" bestFit="1" customWidth="1"/>
    <col min="707" max="707" width="17.88671875" bestFit="1" customWidth="1"/>
    <col min="708" max="708" width="14.33203125" bestFit="1" customWidth="1"/>
    <col min="709" max="709" width="17.88671875" bestFit="1" customWidth="1"/>
    <col min="710" max="710" width="14.33203125" bestFit="1" customWidth="1"/>
    <col min="711" max="711" width="17.88671875" bestFit="1" customWidth="1"/>
    <col min="712" max="712" width="14.33203125" bestFit="1" customWidth="1"/>
    <col min="713" max="713" width="17.88671875" bestFit="1" customWidth="1"/>
    <col min="714" max="714" width="14.33203125" bestFit="1" customWidth="1"/>
    <col min="715" max="715" width="17.88671875" bestFit="1" customWidth="1"/>
    <col min="716" max="716" width="14.33203125" bestFit="1" customWidth="1"/>
    <col min="717" max="717" width="17.88671875" bestFit="1" customWidth="1"/>
    <col min="718" max="718" width="14.33203125" bestFit="1" customWidth="1"/>
    <col min="719" max="719" width="17.88671875" bestFit="1" customWidth="1"/>
    <col min="720" max="720" width="14.33203125" bestFit="1" customWidth="1"/>
    <col min="721" max="721" width="17.88671875" bestFit="1" customWidth="1"/>
    <col min="722" max="722" width="14.33203125" bestFit="1" customWidth="1"/>
    <col min="723" max="723" width="17.88671875" bestFit="1" customWidth="1"/>
    <col min="724" max="724" width="14.33203125" bestFit="1" customWidth="1"/>
    <col min="725" max="725" width="17.88671875" bestFit="1" customWidth="1"/>
    <col min="726" max="726" width="19.77734375" bestFit="1" customWidth="1"/>
    <col min="727" max="727" width="19.109375" bestFit="1" customWidth="1"/>
    <col min="728" max="728" width="14.33203125" bestFit="1" customWidth="1"/>
    <col min="729" max="729" width="14.5546875" bestFit="1" customWidth="1"/>
    <col min="730" max="730" width="17.88671875" bestFit="1" customWidth="1"/>
    <col min="731" max="731" width="14.33203125" bestFit="1" customWidth="1"/>
    <col min="732" max="732" width="14.5546875" bestFit="1" customWidth="1"/>
    <col min="733" max="733" width="17.88671875" bestFit="1" customWidth="1"/>
    <col min="734" max="734" width="14.33203125" bestFit="1" customWidth="1"/>
    <col min="735" max="735" width="14.5546875" bestFit="1" customWidth="1"/>
    <col min="736" max="736" width="17.88671875" bestFit="1" customWidth="1"/>
    <col min="737" max="737" width="14.33203125" bestFit="1" customWidth="1"/>
    <col min="738" max="738" width="14.5546875" bestFit="1" customWidth="1"/>
    <col min="739" max="739" width="17.88671875" bestFit="1" customWidth="1"/>
    <col min="740" max="740" width="14.33203125" bestFit="1" customWidth="1"/>
    <col min="741" max="741" width="14.5546875" bestFit="1" customWidth="1"/>
    <col min="742" max="742" width="17.88671875" bestFit="1" customWidth="1"/>
    <col min="743" max="743" width="14.33203125" bestFit="1" customWidth="1"/>
    <col min="744" max="744" width="14.5546875" bestFit="1" customWidth="1"/>
    <col min="745" max="745" width="17.88671875" bestFit="1" customWidth="1"/>
    <col min="746" max="746" width="14.33203125" bestFit="1" customWidth="1"/>
    <col min="747" max="747" width="14.5546875" bestFit="1" customWidth="1"/>
    <col min="748" max="748" width="17.88671875" bestFit="1" customWidth="1"/>
    <col min="749" max="749" width="14.33203125" bestFit="1" customWidth="1"/>
    <col min="750" max="750" width="14.5546875" bestFit="1" customWidth="1"/>
    <col min="751" max="751" width="17.88671875" bestFit="1" customWidth="1"/>
    <col min="752" max="752" width="14.33203125" bestFit="1" customWidth="1"/>
    <col min="753" max="753" width="14.5546875" bestFit="1" customWidth="1"/>
    <col min="754" max="754" width="17.88671875" bestFit="1" customWidth="1"/>
    <col min="755" max="755" width="14.33203125" bestFit="1" customWidth="1"/>
    <col min="756" max="756" width="14.5546875" bestFit="1" customWidth="1"/>
    <col min="757" max="757" width="17.88671875" bestFit="1" customWidth="1"/>
    <col min="758" max="758" width="14.33203125" bestFit="1" customWidth="1"/>
    <col min="759" max="759" width="14.5546875" bestFit="1" customWidth="1"/>
    <col min="760" max="760" width="17.88671875" bestFit="1" customWidth="1"/>
    <col min="761" max="761" width="14.33203125" bestFit="1" customWidth="1"/>
    <col min="762" max="762" width="14.5546875" bestFit="1" customWidth="1"/>
    <col min="763" max="763" width="17.88671875" bestFit="1" customWidth="1"/>
    <col min="764" max="764" width="14.33203125" bestFit="1" customWidth="1"/>
    <col min="765" max="765" width="14.5546875" bestFit="1" customWidth="1"/>
    <col min="766" max="766" width="17.88671875" bestFit="1" customWidth="1"/>
    <col min="767" max="767" width="14.33203125" bestFit="1" customWidth="1"/>
    <col min="768" max="768" width="14.5546875" bestFit="1" customWidth="1"/>
    <col min="769" max="769" width="17.88671875" bestFit="1" customWidth="1"/>
    <col min="770" max="770" width="14.33203125" bestFit="1" customWidth="1"/>
    <col min="771" max="771" width="14.5546875" bestFit="1" customWidth="1"/>
    <col min="772" max="772" width="17.88671875" bestFit="1" customWidth="1"/>
    <col min="773" max="773" width="14.33203125" bestFit="1" customWidth="1"/>
    <col min="774" max="774" width="14.5546875" bestFit="1" customWidth="1"/>
    <col min="775" max="775" width="17.88671875" bestFit="1" customWidth="1"/>
    <col min="776" max="776" width="14.33203125" bestFit="1" customWidth="1"/>
    <col min="777" max="777" width="14.5546875" bestFit="1" customWidth="1"/>
    <col min="778" max="778" width="17.88671875" bestFit="1" customWidth="1"/>
    <col min="779" max="779" width="14.33203125" bestFit="1" customWidth="1"/>
    <col min="780" max="780" width="14.5546875" bestFit="1" customWidth="1"/>
    <col min="781" max="781" width="17.88671875" bestFit="1" customWidth="1"/>
    <col min="782" max="782" width="14.33203125" bestFit="1" customWidth="1"/>
    <col min="783" max="783" width="14.5546875" bestFit="1" customWidth="1"/>
    <col min="784" max="784" width="17.88671875" bestFit="1" customWidth="1"/>
    <col min="785" max="785" width="14.33203125" bestFit="1" customWidth="1"/>
    <col min="786" max="786" width="14.5546875" bestFit="1" customWidth="1"/>
    <col min="787" max="787" width="17.88671875" bestFit="1" customWidth="1"/>
    <col min="788" max="788" width="14.33203125" bestFit="1" customWidth="1"/>
    <col min="789" max="789" width="14.5546875" bestFit="1" customWidth="1"/>
    <col min="790" max="790" width="17.88671875" bestFit="1" customWidth="1"/>
    <col min="791" max="791" width="14.33203125" bestFit="1" customWidth="1"/>
    <col min="792" max="792" width="14.5546875" bestFit="1" customWidth="1"/>
    <col min="793" max="793" width="17.88671875" bestFit="1" customWidth="1"/>
    <col min="794" max="794" width="14.33203125" bestFit="1" customWidth="1"/>
    <col min="795" max="795" width="14.5546875" bestFit="1" customWidth="1"/>
    <col min="796" max="796" width="17.88671875" bestFit="1" customWidth="1"/>
    <col min="797" max="797" width="14.33203125" bestFit="1" customWidth="1"/>
    <col min="798" max="798" width="14.5546875" bestFit="1" customWidth="1"/>
    <col min="799" max="799" width="17.88671875" bestFit="1" customWidth="1"/>
    <col min="800" max="800" width="14.33203125" bestFit="1" customWidth="1"/>
    <col min="801" max="801" width="14.5546875" bestFit="1" customWidth="1"/>
    <col min="802" max="802" width="17.88671875" bestFit="1" customWidth="1"/>
    <col min="803" max="803" width="14.33203125" bestFit="1" customWidth="1"/>
    <col min="804" max="804" width="14.5546875" bestFit="1" customWidth="1"/>
    <col min="805" max="805" width="17.88671875" bestFit="1" customWidth="1"/>
    <col min="806" max="806" width="14.33203125" bestFit="1" customWidth="1"/>
    <col min="807" max="807" width="14.5546875" bestFit="1" customWidth="1"/>
    <col min="808" max="808" width="17.88671875" bestFit="1" customWidth="1"/>
    <col min="809" max="809" width="14.33203125" bestFit="1" customWidth="1"/>
    <col min="810" max="810" width="14.5546875" bestFit="1" customWidth="1"/>
    <col min="811" max="811" width="17.88671875" bestFit="1" customWidth="1"/>
    <col min="812" max="812" width="14.33203125" bestFit="1" customWidth="1"/>
    <col min="813" max="813" width="14.5546875" bestFit="1" customWidth="1"/>
    <col min="814" max="814" width="17.88671875" bestFit="1" customWidth="1"/>
    <col min="815" max="815" width="14.33203125" bestFit="1" customWidth="1"/>
    <col min="816" max="816" width="14.5546875" bestFit="1" customWidth="1"/>
    <col min="817" max="817" width="17.88671875" bestFit="1" customWidth="1"/>
    <col min="818" max="818" width="14.33203125" bestFit="1" customWidth="1"/>
    <col min="819" max="819" width="14.5546875" bestFit="1" customWidth="1"/>
    <col min="820" max="820" width="17.88671875" bestFit="1" customWidth="1"/>
    <col min="821" max="821" width="14.33203125" bestFit="1" customWidth="1"/>
    <col min="822" max="822" width="14.5546875" bestFit="1" customWidth="1"/>
    <col min="823" max="823" width="17.88671875" bestFit="1" customWidth="1"/>
    <col min="824" max="824" width="14.33203125" bestFit="1" customWidth="1"/>
    <col min="825" max="825" width="14.5546875" bestFit="1" customWidth="1"/>
    <col min="826" max="826" width="17.88671875" bestFit="1" customWidth="1"/>
    <col min="827" max="827" width="14.33203125" bestFit="1" customWidth="1"/>
    <col min="828" max="828" width="14.5546875" bestFit="1" customWidth="1"/>
    <col min="829" max="829" width="17.88671875" bestFit="1" customWidth="1"/>
    <col min="830" max="830" width="14.33203125" bestFit="1" customWidth="1"/>
    <col min="831" max="831" width="14.5546875" bestFit="1" customWidth="1"/>
    <col min="832" max="832" width="17.88671875" bestFit="1" customWidth="1"/>
    <col min="833" max="833" width="14.33203125" bestFit="1" customWidth="1"/>
    <col min="834" max="834" width="14.5546875" bestFit="1" customWidth="1"/>
    <col min="835" max="835" width="17.88671875" bestFit="1" customWidth="1"/>
    <col min="836" max="836" width="14.33203125" bestFit="1" customWidth="1"/>
    <col min="837" max="837" width="14.5546875" bestFit="1" customWidth="1"/>
    <col min="838" max="838" width="17.88671875" bestFit="1" customWidth="1"/>
    <col min="839" max="839" width="14.33203125" bestFit="1" customWidth="1"/>
    <col min="840" max="840" width="14.5546875" bestFit="1" customWidth="1"/>
    <col min="841" max="841" width="17.88671875" bestFit="1" customWidth="1"/>
    <col min="842" max="842" width="14.33203125" bestFit="1" customWidth="1"/>
    <col min="843" max="843" width="14.5546875" bestFit="1" customWidth="1"/>
    <col min="844" max="844" width="17.88671875" bestFit="1" customWidth="1"/>
    <col min="845" max="845" width="14.33203125" bestFit="1" customWidth="1"/>
    <col min="846" max="846" width="14.5546875" bestFit="1" customWidth="1"/>
    <col min="847" max="847" width="17.88671875" bestFit="1" customWidth="1"/>
    <col min="848" max="848" width="14.33203125" bestFit="1" customWidth="1"/>
    <col min="849" max="849" width="14.5546875" bestFit="1" customWidth="1"/>
    <col min="850" max="850" width="17.88671875" bestFit="1" customWidth="1"/>
    <col min="851" max="851" width="14.33203125" bestFit="1" customWidth="1"/>
    <col min="852" max="852" width="14.5546875" bestFit="1" customWidth="1"/>
    <col min="853" max="853" width="17.88671875" bestFit="1" customWidth="1"/>
    <col min="854" max="854" width="14.33203125" bestFit="1" customWidth="1"/>
    <col min="855" max="855" width="14.5546875" bestFit="1" customWidth="1"/>
    <col min="856" max="856" width="17.88671875" bestFit="1" customWidth="1"/>
    <col min="857" max="857" width="14.33203125" bestFit="1" customWidth="1"/>
    <col min="858" max="858" width="14.5546875" bestFit="1" customWidth="1"/>
    <col min="859" max="859" width="17.88671875" bestFit="1" customWidth="1"/>
    <col min="860" max="860" width="14.33203125" bestFit="1" customWidth="1"/>
    <col min="861" max="861" width="14.5546875" bestFit="1" customWidth="1"/>
    <col min="862" max="862" width="17.88671875" bestFit="1" customWidth="1"/>
    <col min="863" max="863" width="14.33203125" bestFit="1" customWidth="1"/>
    <col min="864" max="864" width="14.5546875" bestFit="1" customWidth="1"/>
    <col min="865" max="865" width="17.88671875" bestFit="1" customWidth="1"/>
    <col min="866" max="866" width="14.33203125" bestFit="1" customWidth="1"/>
    <col min="867" max="867" width="14.5546875" bestFit="1" customWidth="1"/>
    <col min="868" max="868" width="17.88671875" bestFit="1" customWidth="1"/>
    <col min="869" max="869" width="14.33203125" bestFit="1" customWidth="1"/>
    <col min="870" max="870" width="14.5546875" bestFit="1" customWidth="1"/>
    <col min="871" max="871" width="17.88671875" bestFit="1" customWidth="1"/>
    <col min="872" max="872" width="14.33203125" bestFit="1" customWidth="1"/>
    <col min="873" max="873" width="14.5546875" bestFit="1" customWidth="1"/>
    <col min="874" max="874" width="17.88671875" bestFit="1" customWidth="1"/>
    <col min="875" max="875" width="14.33203125" bestFit="1" customWidth="1"/>
    <col min="876" max="876" width="14.5546875" bestFit="1" customWidth="1"/>
    <col min="877" max="877" width="17.88671875" bestFit="1" customWidth="1"/>
    <col min="878" max="878" width="14.33203125" bestFit="1" customWidth="1"/>
    <col min="879" max="879" width="14.5546875" bestFit="1" customWidth="1"/>
    <col min="880" max="880" width="17.88671875" bestFit="1" customWidth="1"/>
    <col min="881" max="881" width="14.33203125" bestFit="1" customWidth="1"/>
    <col min="882" max="882" width="14.5546875" bestFit="1" customWidth="1"/>
    <col min="883" max="883" width="17.88671875" bestFit="1" customWidth="1"/>
    <col min="884" max="884" width="14.33203125" bestFit="1" customWidth="1"/>
    <col min="885" max="885" width="14.5546875" bestFit="1" customWidth="1"/>
    <col min="886" max="886" width="17.88671875" bestFit="1" customWidth="1"/>
    <col min="887" max="887" width="14.33203125" bestFit="1" customWidth="1"/>
    <col min="888" max="888" width="14.5546875" bestFit="1" customWidth="1"/>
    <col min="889" max="889" width="17.88671875" bestFit="1" customWidth="1"/>
    <col min="890" max="890" width="14.33203125" bestFit="1" customWidth="1"/>
    <col min="891" max="891" width="14.5546875" bestFit="1" customWidth="1"/>
    <col min="892" max="892" width="17.88671875" bestFit="1" customWidth="1"/>
    <col min="893" max="893" width="14.33203125" bestFit="1" customWidth="1"/>
    <col min="894" max="894" width="14.5546875" bestFit="1" customWidth="1"/>
    <col min="895" max="895" width="17.88671875" bestFit="1" customWidth="1"/>
    <col min="896" max="896" width="14.33203125" bestFit="1" customWidth="1"/>
    <col min="897" max="897" width="14.5546875" bestFit="1" customWidth="1"/>
    <col min="898" max="898" width="17.88671875" bestFit="1" customWidth="1"/>
    <col min="899" max="899" width="14.33203125" bestFit="1" customWidth="1"/>
    <col min="900" max="900" width="14.5546875" bestFit="1" customWidth="1"/>
    <col min="901" max="901" width="17.88671875" bestFit="1" customWidth="1"/>
    <col min="902" max="902" width="14.33203125" bestFit="1" customWidth="1"/>
    <col min="903" max="903" width="14.5546875" bestFit="1" customWidth="1"/>
    <col min="904" max="904" width="17.88671875" bestFit="1" customWidth="1"/>
    <col min="905" max="905" width="14.33203125" bestFit="1" customWidth="1"/>
    <col min="906" max="906" width="14.5546875" bestFit="1" customWidth="1"/>
    <col min="907" max="907" width="17.88671875" bestFit="1" customWidth="1"/>
    <col min="908" max="908" width="14.33203125" bestFit="1" customWidth="1"/>
    <col min="909" max="909" width="14.5546875" bestFit="1" customWidth="1"/>
    <col min="910" max="910" width="17.88671875" bestFit="1" customWidth="1"/>
    <col min="911" max="911" width="14.33203125" bestFit="1" customWidth="1"/>
    <col min="912" max="912" width="14.5546875" bestFit="1" customWidth="1"/>
    <col min="913" max="913" width="17.88671875" bestFit="1" customWidth="1"/>
    <col min="914" max="914" width="14.33203125" bestFit="1" customWidth="1"/>
    <col min="915" max="915" width="14.5546875" bestFit="1" customWidth="1"/>
    <col min="916" max="916" width="17.88671875" bestFit="1" customWidth="1"/>
    <col min="917" max="917" width="14.33203125" bestFit="1" customWidth="1"/>
    <col min="918" max="918" width="14.5546875" bestFit="1" customWidth="1"/>
    <col min="919" max="919" width="17.88671875" bestFit="1" customWidth="1"/>
    <col min="920" max="920" width="14.33203125" bestFit="1" customWidth="1"/>
    <col min="921" max="921" width="14.5546875" bestFit="1" customWidth="1"/>
    <col min="922" max="922" width="17.88671875" bestFit="1" customWidth="1"/>
    <col min="923" max="923" width="14.33203125" bestFit="1" customWidth="1"/>
    <col min="924" max="924" width="14.5546875" bestFit="1" customWidth="1"/>
    <col min="925" max="925" width="17.88671875" bestFit="1" customWidth="1"/>
    <col min="926" max="926" width="14.33203125" bestFit="1" customWidth="1"/>
    <col min="927" max="927" width="14.5546875" bestFit="1" customWidth="1"/>
    <col min="928" max="928" width="17.88671875" bestFit="1" customWidth="1"/>
    <col min="929" max="929" width="14.33203125" bestFit="1" customWidth="1"/>
    <col min="930" max="930" width="14.5546875" bestFit="1" customWidth="1"/>
    <col min="931" max="931" width="17.88671875" bestFit="1" customWidth="1"/>
    <col min="932" max="932" width="14.33203125" bestFit="1" customWidth="1"/>
    <col min="933" max="933" width="14.5546875" bestFit="1" customWidth="1"/>
    <col min="934" max="934" width="17.88671875" bestFit="1" customWidth="1"/>
    <col min="935" max="935" width="14.33203125" bestFit="1" customWidth="1"/>
    <col min="936" max="936" width="14.5546875" bestFit="1" customWidth="1"/>
    <col min="937" max="937" width="17.88671875" bestFit="1" customWidth="1"/>
    <col min="938" max="938" width="14.33203125" bestFit="1" customWidth="1"/>
    <col min="939" max="939" width="14.5546875" bestFit="1" customWidth="1"/>
    <col min="940" max="940" width="17.88671875" bestFit="1" customWidth="1"/>
    <col min="941" max="941" width="14.33203125" bestFit="1" customWidth="1"/>
    <col min="942" max="942" width="14.5546875" bestFit="1" customWidth="1"/>
    <col min="943" max="943" width="17.88671875" bestFit="1" customWidth="1"/>
    <col min="944" max="944" width="14.33203125" bestFit="1" customWidth="1"/>
    <col min="945" max="945" width="14.5546875" bestFit="1" customWidth="1"/>
    <col min="946" max="946" width="17.88671875" bestFit="1" customWidth="1"/>
    <col min="947" max="947" width="14.33203125" bestFit="1" customWidth="1"/>
    <col min="948" max="948" width="14.5546875" bestFit="1" customWidth="1"/>
    <col min="949" max="949" width="17.88671875" bestFit="1" customWidth="1"/>
    <col min="950" max="950" width="14.33203125" bestFit="1" customWidth="1"/>
    <col min="951" max="951" width="14.5546875" bestFit="1" customWidth="1"/>
    <col min="952" max="952" width="17.88671875" bestFit="1" customWidth="1"/>
    <col min="953" max="953" width="14.33203125" bestFit="1" customWidth="1"/>
    <col min="954" max="954" width="14.5546875" bestFit="1" customWidth="1"/>
    <col min="955" max="955" width="17.88671875" bestFit="1" customWidth="1"/>
    <col min="956" max="956" width="14.33203125" bestFit="1" customWidth="1"/>
    <col min="957" max="957" width="14.5546875" bestFit="1" customWidth="1"/>
    <col min="958" max="958" width="17.88671875" bestFit="1" customWidth="1"/>
    <col min="959" max="959" width="14.33203125" bestFit="1" customWidth="1"/>
    <col min="960" max="960" width="14.5546875" bestFit="1" customWidth="1"/>
    <col min="961" max="961" width="17.88671875" bestFit="1" customWidth="1"/>
    <col min="962" max="962" width="14.33203125" bestFit="1" customWidth="1"/>
    <col min="963" max="963" width="14.5546875" bestFit="1" customWidth="1"/>
    <col min="964" max="964" width="17.88671875" bestFit="1" customWidth="1"/>
    <col min="965" max="965" width="14.33203125" bestFit="1" customWidth="1"/>
    <col min="966" max="966" width="14.5546875" bestFit="1" customWidth="1"/>
    <col min="967" max="967" width="17.88671875" bestFit="1" customWidth="1"/>
    <col min="968" max="968" width="14.33203125" bestFit="1" customWidth="1"/>
    <col min="969" max="969" width="14.5546875" bestFit="1" customWidth="1"/>
    <col min="970" max="970" width="17.88671875" bestFit="1" customWidth="1"/>
    <col min="971" max="971" width="14.33203125" bestFit="1" customWidth="1"/>
    <col min="972" max="972" width="14.5546875" bestFit="1" customWidth="1"/>
    <col min="973" max="973" width="17.88671875" bestFit="1" customWidth="1"/>
    <col min="974" max="974" width="14.33203125" bestFit="1" customWidth="1"/>
    <col min="975" max="975" width="14.5546875" bestFit="1" customWidth="1"/>
    <col min="976" max="976" width="17.88671875" bestFit="1" customWidth="1"/>
    <col min="977" max="977" width="14.33203125" bestFit="1" customWidth="1"/>
    <col min="978" max="978" width="14.5546875" bestFit="1" customWidth="1"/>
    <col min="979" max="979" width="17.88671875" bestFit="1" customWidth="1"/>
    <col min="980" max="980" width="14.33203125" bestFit="1" customWidth="1"/>
    <col min="981" max="981" width="14.5546875" bestFit="1" customWidth="1"/>
    <col min="982" max="982" width="17.88671875" bestFit="1" customWidth="1"/>
    <col min="983" max="983" width="14.33203125" bestFit="1" customWidth="1"/>
    <col min="984" max="984" width="14.5546875" bestFit="1" customWidth="1"/>
    <col min="985" max="985" width="17.88671875" bestFit="1" customWidth="1"/>
    <col min="986" max="986" width="14.33203125" bestFit="1" customWidth="1"/>
    <col min="987" max="987" width="14.5546875" bestFit="1" customWidth="1"/>
    <col min="988" max="988" width="17.88671875" bestFit="1" customWidth="1"/>
    <col min="989" max="989" width="14.33203125" bestFit="1" customWidth="1"/>
    <col min="990" max="990" width="14.5546875" bestFit="1" customWidth="1"/>
    <col min="991" max="991" width="17.88671875" bestFit="1" customWidth="1"/>
    <col min="992" max="992" width="14.33203125" bestFit="1" customWidth="1"/>
    <col min="993" max="993" width="14.5546875" bestFit="1" customWidth="1"/>
    <col min="994" max="994" width="17.88671875" bestFit="1" customWidth="1"/>
    <col min="995" max="995" width="14.33203125" bestFit="1" customWidth="1"/>
    <col min="996" max="996" width="14.5546875" bestFit="1" customWidth="1"/>
    <col min="997" max="997" width="17.88671875" bestFit="1" customWidth="1"/>
    <col min="998" max="998" width="14.33203125" bestFit="1" customWidth="1"/>
    <col min="999" max="999" width="14.5546875" bestFit="1" customWidth="1"/>
    <col min="1000" max="1000" width="17.88671875" bestFit="1" customWidth="1"/>
    <col min="1001" max="1001" width="14.33203125" bestFit="1" customWidth="1"/>
    <col min="1002" max="1002" width="14.5546875" bestFit="1" customWidth="1"/>
    <col min="1003" max="1003" width="17.88671875" bestFit="1" customWidth="1"/>
    <col min="1004" max="1004" width="14.33203125" bestFit="1" customWidth="1"/>
    <col min="1005" max="1005" width="14.5546875" bestFit="1" customWidth="1"/>
    <col min="1006" max="1006" width="17.88671875" bestFit="1" customWidth="1"/>
    <col min="1007" max="1007" width="14.33203125" bestFit="1" customWidth="1"/>
    <col min="1008" max="1008" width="14.5546875" bestFit="1" customWidth="1"/>
    <col min="1009" max="1009" width="17.88671875" bestFit="1" customWidth="1"/>
    <col min="1010" max="1010" width="14.33203125" bestFit="1" customWidth="1"/>
    <col min="1011" max="1011" width="14.5546875" bestFit="1" customWidth="1"/>
    <col min="1012" max="1012" width="17.88671875" bestFit="1" customWidth="1"/>
    <col min="1013" max="1013" width="14.33203125" bestFit="1" customWidth="1"/>
    <col min="1014" max="1014" width="14.5546875" bestFit="1" customWidth="1"/>
    <col min="1015" max="1015" width="17.88671875" bestFit="1" customWidth="1"/>
    <col min="1016" max="1016" width="14.33203125" bestFit="1" customWidth="1"/>
    <col min="1017" max="1017" width="14.5546875" bestFit="1" customWidth="1"/>
    <col min="1018" max="1018" width="17.88671875" bestFit="1" customWidth="1"/>
    <col min="1019" max="1019" width="14.33203125" bestFit="1" customWidth="1"/>
    <col min="1020" max="1020" width="14.5546875" bestFit="1" customWidth="1"/>
    <col min="1021" max="1021" width="17.88671875" bestFit="1" customWidth="1"/>
    <col min="1022" max="1022" width="14.33203125" bestFit="1" customWidth="1"/>
    <col min="1023" max="1023" width="14.5546875" bestFit="1" customWidth="1"/>
    <col min="1024" max="1024" width="17.88671875" bestFit="1" customWidth="1"/>
    <col min="1025" max="1025" width="14.33203125" bestFit="1" customWidth="1"/>
    <col min="1026" max="1026" width="14.5546875" bestFit="1" customWidth="1"/>
    <col min="1027" max="1027" width="17.88671875" bestFit="1" customWidth="1"/>
    <col min="1028" max="1028" width="14.33203125" bestFit="1" customWidth="1"/>
    <col min="1029" max="1029" width="14.5546875" bestFit="1" customWidth="1"/>
    <col min="1030" max="1030" width="17.88671875" bestFit="1" customWidth="1"/>
    <col min="1031" max="1031" width="14.33203125" bestFit="1" customWidth="1"/>
    <col min="1032" max="1032" width="14.5546875" bestFit="1" customWidth="1"/>
    <col min="1033" max="1033" width="17.88671875" bestFit="1" customWidth="1"/>
    <col min="1034" max="1034" width="14.33203125" bestFit="1" customWidth="1"/>
    <col min="1035" max="1035" width="14.5546875" bestFit="1" customWidth="1"/>
    <col min="1036" max="1036" width="17.88671875" bestFit="1" customWidth="1"/>
    <col min="1037" max="1037" width="14.33203125" bestFit="1" customWidth="1"/>
    <col min="1038" max="1038" width="14.5546875" bestFit="1" customWidth="1"/>
    <col min="1039" max="1039" width="17.88671875" bestFit="1" customWidth="1"/>
    <col min="1040" max="1040" width="14.33203125" bestFit="1" customWidth="1"/>
    <col min="1041" max="1041" width="14.5546875" bestFit="1" customWidth="1"/>
    <col min="1042" max="1042" width="17.88671875" bestFit="1" customWidth="1"/>
    <col min="1043" max="1043" width="14.33203125" bestFit="1" customWidth="1"/>
    <col min="1044" max="1044" width="14.5546875" bestFit="1" customWidth="1"/>
    <col min="1045" max="1045" width="17.88671875" bestFit="1" customWidth="1"/>
    <col min="1046" max="1046" width="14.33203125" bestFit="1" customWidth="1"/>
    <col min="1047" max="1047" width="14.5546875" bestFit="1" customWidth="1"/>
    <col min="1048" max="1048" width="17.88671875" bestFit="1" customWidth="1"/>
    <col min="1049" max="1049" width="14.33203125" bestFit="1" customWidth="1"/>
    <col min="1050" max="1050" width="14.5546875" bestFit="1" customWidth="1"/>
    <col min="1051" max="1051" width="17.88671875" bestFit="1" customWidth="1"/>
    <col min="1052" max="1052" width="14.33203125" bestFit="1" customWidth="1"/>
    <col min="1053" max="1053" width="14.5546875" bestFit="1" customWidth="1"/>
    <col min="1054" max="1054" width="17.88671875" bestFit="1" customWidth="1"/>
    <col min="1055" max="1055" width="14.33203125" bestFit="1" customWidth="1"/>
    <col min="1056" max="1056" width="14.5546875" bestFit="1" customWidth="1"/>
    <col min="1057" max="1057" width="17.88671875" bestFit="1" customWidth="1"/>
    <col min="1058" max="1058" width="14.33203125" bestFit="1" customWidth="1"/>
    <col min="1059" max="1059" width="14.5546875" bestFit="1" customWidth="1"/>
    <col min="1060" max="1060" width="17.88671875" bestFit="1" customWidth="1"/>
    <col min="1061" max="1061" width="14.33203125" bestFit="1" customWidth="1"/>
    <col min="1062" max="1062" width="14.5546875" bestFit="1" customWidth="1"/>
    <col min="1063" max="1063" width="17.88671875" bestFit="1" customWidth="1"/>
    <col min="1064" max="1064" width="14.33203125" bestFit="1" customWidth="1"/>
    <col min="1065" max="1065" width="14.5546875" bestFit="1" customWidth="1"/>
    <col min="1066" max="1066" width="17.88671875" bestFit="1" customWidth="1"/>
    <col min="1067" max="1067" width="14.33203125" bestFit="1" customWidth="1"/>
    <col min="1068" max="1068" width="14.5546875" bestFit="1" customWidth="1"/>
    <col min="1069" max="1069" width="17.88671875" bestFit="1" customWidth="1"/>
    <col min="1070" max="1070" width="14.33203125" bestFit="1" customWidth="1"/>
    <col min="1071" max="1071" width="14.5546875" bestFit="1" customWidth="1"/>
    <col min="1072" max="1072" width="17.88671875" bestFit="1" customWidth="1"/>
    <col min="1073" max="1073" width="14.33203125" bestFit="1" customWidth="1"/>
    <col min="1074" max="1074" width="14.5546875" bestFit="1" customWidth="1"/>
    <col min="1075" max="1075" width="17.88671875" bestFit="1" customWidth="1"/>
    <col min="1076" max="1076" width="14.33203125" bestFit="1" customWidth="1"/>
    <col min="1077" max="1077" width="14.5546875" bestFit="1" customWidth="1"/>
    <col min="1078" max="1078" width="17.88671875" bestFit="1" customWidth="1"/>
    <col min="1079" max="1079" width="14.33203125" bestFit="1" customWidth="1"/>
    <col min="1080" max="1080" width="14.5546875" bestFit="1" customWidth="1"/>
    <col min="1081" max="1081" width="17.88671875" bestFit="1" customWidth="1"/>
    <col min="1082" max="1082" width="14.33203125" bestFit="1" customWidth="1"/>
    <col min="1083" max="1083" width="14.5546875" bestFit="1" customWidth="1"/>
    <col min="1084" max="1084" width="17.88671875" bestFit="1" customWidth="1"/>
    <col min="1085" max="1085" width="14.33203125" bestFit="1" customWidth="1"/>
    <col min="1086" max="1086" width="14.5546875" bestFit="1" customWidth="1"/>
    <col min="1087" max="1087" width="17.88671875" bestFit="1" customWidth="1"/>
    <col min="1088" max="1088" width="19.77734375" bestFit="1" customWidth="1"/>
    <col min="1089" max="1089" width="19.109375" bestFit="1" customWidth="1"/>
  </cols>
  <sheetData>
    <row r="2" spans="1:15" ht="15" thickBot="1"/>
    <row r="3" spans="1:15">
      <c r="A3" s="9"/>
      <c r="B3" s="10" t="s">
        <v>733</v>
      </c>
      <c r="C3" s="11"/>
      <c r="D3" s="11"/>
      <c r="E3" s="11"/>
      <c r="F3" s="11"/>
      <c r="G3" s="11"/>
      <c r="H3" s="11"/>
      <c r="I3" s="11"/>
      <c r="J3" s="11"/>
      <c r="K3" s="11"/>
      <c r="L3" s="11"/>
      <c r="M3" s="11"/>
      <c r="N3" s="11"/>
      <c r="O3" s="12"/>
    </row>
    <row r="4" spans="1:15">
      <c r="A4" s="13"/>
      <c r="B4" t="s">
        <v>731</v>
      </c>
      <c r="H4" t="s">
        <v>732</v>
      </c>
      <c r="N4" t="s">
        <v>734</v>
      </c>
      <c r="O4" s="14" t="s">
        <v>735</v>
      </c>
    </row>
    <row r="5" spans="1:15">
      <c r="A5" s="13"/>
      <c r="B5" t="s">
        <v>736</v>
      </c>
      <c r="C5" t="s">
        <v>737</v>
      </c>
      <c r="D5" t="s">
        <v>738</v>
      </c>
      <c r="E5" t="s">
        <v>739</v>
      </c>
      <c r="F5" t="s">
        <v>740</v>
      </c>
      <c r="G5" t="s">
        <v>741</v>
      </c>
      <c r="H5" t="s">
        <v>736</v>
      </c>
      <c r="I5" t="s">
        <v>737</v>
      </c>
      <c r="J5" t="s">
        <v>738</v>
      </c>
      <c r="K5" t="s">
        <v>739</v>
      </c>
      <c r="L5" t="s">
        <v>740</v>
      </c>
      <c r="M5" t="s">
        <v>741</v>
      </c>
      <c r="O5" s="14"/>
    </row>
    <row r="6" spans="1:15">
      <c r="A6" s="15" t="s">
        <v>729</v>
      </c>
      <c r="O6" s="14"/>
    </row>
    <row r="7" spans="1:15">
      <c r="A7" s="16" t="s">
        <v>10</v>
      </c>
      <c r="B7">
        <v>1718</v>
      </c>
      <c r="C7">
        <v>1430</v>
      </c>
      <c r="D7">
        <v>1551</v>
      </c>
      <c r="E7">
        <v>1675</v>
      </c>
      <c r="F7">
        <v>1707</v>
      </c>
      <c r="G7">
        <v>1605</v>
      </c>
      <c r="H7">
        <v>304</v>
      </c>
      <c r="I7">
        <v>238</v>
      </c>
      <c r="J7">
        <v>331</v>
      </c>
      <c r="K7">
        <v>326</v>
      </c>
      <c r="L7">
        <v>301</v>
      </c>
      <c r="M7">
        <v>282</v>
      </c>
      <c r="N7">
        <v>9686</v>
      </c>
      <c r="O7" s="14">
        <v>1782</v>
      </c>
    </row>
    <row r="8" spans="1:15">
      <c r="A8" s="16" t="s">
        <v>12</v>
      </c>
      <c r="B8">
        <v>1547</v>
      </c>
      <c r="C8">
        <v>1329</v>
      </c>
      <c r="D8">
        <v>1608</v>
      </c>
      <c r="E8">
        <v>1411</v>
      </c>
      <c r="F8">
        <v>1502</v>
      </c>
      <c r="G8">
        <v>1489</v>
      </c>
      <c r="H8">
        <v>374</v>
      </c>
      <c r="I8">
        <v>320</v>
      </c>
      <c r="J8">
        <v>311</v>
      </c>
      <c r="K8">
        <v>307</v>
      </c>
      <c r="L8">
        <v>332</v>
      </c>
      <c r="M8">
        <v>245</v>
      </c>
      <c r="N8">
        <v>8886</v>
      </c>
      <c r="O8" s="14">
        <v>1889</v>
      </c>
    </row>
    <row r="9" spans="1:15">
      <c r="A9" s="16" t="s">
        <v>8</v>
      </c>
      <c r="B9">
        <v>1479</v>
      </c>
      <c r="C9">
        <v>1529</v>
      </c>
      <c r="D9">
        <v>1700</v>
      </c>
      <c r="E9">
        <v>1518</v>
      </c>
      <c r="F9">
        <v>1671</v>
      </c>
      <c r="G9">
        <v>1550</v>
      </c>
      <c r="H9">
        <v>325</v>
      </c>
      <c r="I9">
        <v>265</v>
      </c>
      <c r="J9">
        <v>256</v>
      </c>
      <c r="K9">
        <v>239</v>
      </c>
      <c r="L9">
        <v>267</v>
      </c>
      <c r="M9">
        <v>279</v>
      </c>
      <c r="N9">
        <v>9447</v>
      </c>
      <c r="O9" s="14">
        <v>1631</v>
      </c>
    </row>
    <row r="10" spans="1:15">
      <c r="A10" s="16" t="s">
        <v>6</v>
      </c>
      <c r="B10">
        <v>1450</v>
      </c>
      <c r="C10">
        <v>1567</v>
      </c>
      <c r="D10">
        <v>1698</v>
      </c>
      <c r="E10">
        <v>1549</v>
      </c>
      <c r="F10">
        <v>1606</v>
      </c>
      <c r="G10">
        <v>1558</v>
      </c>
      <c r="H10">
        <v>260</v>
      </c>
      <c r="I10">
        <v>251</v>
      </c>
      <c r="J10">
        <v>298</v>
      </c>
      <c r="K10">
        <v>298</v>
      </c>
      <c r="L10">
        <v>412</v>
      </c>
      <c r="M10">
        <v>260</v>
      </c>
      <c r="N10">
        <v>9428</v>
      </c>
      <c r="O10" s="14">
        <v>1779</v>
      </c>
    </row>
    <row r="11" spans="1:15" ht="15" thickBot="1">
      <c r="A11" s="17" t="s">
        <v>730</v>
      </c>
      <c r="B11" s="23">
        <v>6194</v>
      </c>
      <c r="C11" s="23">
        <v>5855</v>
      </c>
      <c r="D11" s="23">
        <v>6557</v>
      </c>
      <c r="E11" s="23">
        <v>6153</v>
      </c>
      <c r="F11" s="23">
        <v>6486</v>
      </c>
      <c r="G11" s="23">
        <v>6202</v>
      </c>
      <c r="H11" s="23">
        <v>1263</v>
      </c>
      <c r="I11" s="23">
        <v>1074</v>
      </c>
      <c r="J11" s="23">
        <v>1196</v>
      </c>
      <c r="K11" s="23">
        <v>1170</v>
      </c>
      <c r="L11" s="23">
        <v>1312</v>
      </c>
      <c r="M11" s="23">
        <v>1066</v>
      </c>
      <c r="N11" s="23">
        <v>37447</v>
      </c>
      <c r="O11" s="24">
        <v>7081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0BA9B-594B-4288-AF78-5A37B318E5EA}">
  <dimension ref="A3:H10"/>
  <sheetViews>
    <sheetView workbookViewId="0">
      <selection activeCell="J9" sqref="J9"/>
    </sheetView>
  </sheetViews>
  <sheetFormatPr defaultRowHeight="14.4"/>
  <cols>
    <col min="1" max="1" width="13.6640625" bestFit="1" customWidth="1"/>
    <col min="2" max="2" width="16.109375" bestFit="1" customWidth="1"/>
    <col min="3" max="4" width="6.21875" bestFit="1" customWidth="1"/>
    <col min="5" max="5" width="6.109375" bestFit="1" customWidth="1"/>
    <col min="6" max="6" width="6.44140625" bestFit="1" customWidth="1"/>
    <col min="7" max="7" width="6.21875" bestFit="1" customWidth="1"/>
    <col min="8" max="8" width="11.44140625" bestFit="1" customWidth="1"/>
    <col min="9" max="182" width="12.33203125" bestFit="1" customWidth="1"/>
    <col min="183" max="183" width="12" bestFit="1" customWidth="1"/>
  </cols>
  <sheetData>
    <row r="3" spans="1:8">
      <c r="A3" s="4" t="s">
        <v>732</v>
      </c>
      <c r="B3" s="4" t="s">
        <v>733</v>
      </c>
      <c r="C3" s="1"/>
      <c r="D3" s="1"/>
      <c r="E3" s="1"/>
      <c r="F3" s="1"/>
      <c r="G3" s="1"/>
      <c r="H3" s="1"/>
    </row>
    <row r="4" spans="1:8">
      <c r="A4" s="1"/>
      <c r="B4" s="1" t="s">
        <v>736</v>
      </c>
      <c r="C4" s="1" t="s">
        <v>737</v>
      </c>
      <c r="D4" s="1" t="s">
        <v>738</v>
      </c>
      <c r="E4" s="1" t="s">
        <v>739</v>
      </c>
      <c r="F4" s="1" t="s">
        <v>740</v>
      </c>
      <c r="G4" s="1" t="s">
        <v>741</v>
      </c>
      <c r="H4" s="1" t="s">
        <v>730</v>
      </c>
    </row>
    <row r="5" spans="1:8">
      <c r="A5" s="4" t="s">
        <v>729</v>
      </c>
      <c r="B5" s="1"/>
      <c r="C5" s="1"/>
      <c r="D5" s="1"/>
      <c r="E5" s="1"/>
      <c r="F5" s="1"/>
      <c r="G5" s="1"/>
      <c r="H5" s="1"/>
    </row>
    <row r="6" spans="1:8">
      <c r="A6" s="5" t="s">
        <v>10</v>
      </c>
      <c r="B6" s="1">
        <v>304</v>
      </c>
      <c r="C6" s="1">
        <v>238</v>
      </c>
      <c r="D6" s="1">
        <v>331</v>
      </c>
      <c r="E6" s="1">
        <v>326</v>
      </c>
      <c r="F6" s="1">
        <v>301</v>
      </c>
      <c r="G6" s="1">
        <v>282</v>
      </c>
      <c r="H6" s="1">
        <v>1782</v>
      </c>
    </row>
    <row r="7" spans="1:8">
      <c r="A7" s="5" t="s">
        <v>12</v>
      </c>
      <c r="B7" s="1">
        <v>374</v>
      </c>
      <c r="C7" s="1">
        <v>320</v>
      </c>
      <c r="D7" s="1">
        <v>311</v>
      </c>
      <c r="E7" s="1">
        <v>307</v>
      </c>
      <c r="F7" s="1">
        <v>332</v>
      </c>
      <c r="G7" s="1">
        <v>245</v>
      </c>
      <c r="H7" s="1">
        <v>1889</v>
      </c>
    </row>
    <row r="8" spans="1:8">
      <c r="A8" s="5" t="s">
        <v>8</v>
      </c>
      <c r="B8" s="1">
        <v>325</v>
      </c>
      <c r="C8" s="1">
        <v>265</v>
      </c>
      <c r="D8" s="1">
        <v>256</v>
      </c>
      <c r="E8" s="1">
        <v>239</v>
      </c>
      <c r="F8" s="1">
        <v>267</v>
      </c>
      <c r="G8" s="1">
        <v>279</v>
      </c>
      <c r="H8" s="1">
        <v>1631</v>
      </c>
    </row>
    <row r="9" spans="1:8">
      <c r="A9" s="5" t="s">
        <v>6</v>
      </c>
      <c r="B9" s="1">
        <v>260</v>
      </c>
      <c r="C9" s="1">
        <v>251</v>
      </c>
      <c r="D9" s="1">
        <v>298</v>
      </c>
      <c r="E9" s="1">
        <v>298</v>
      </c>
      <c r="F9" s="1">
        <v>412</v>
      </c>
      <c r="G9" s="1">
        <v>260</v>
      </c>
      <c r="H9" s="1">
        <v>1779</v>
      </c>
    </row>
    <row r="10" spans="1:8">
      <c r="A10" s="5" t="s">
        <v>730</v>
      </c>
      <c r="B10" s="1">
        <v>1263</v>
      </c>
      <c r="C10" s="1">
        <v>1074</v>
      </c>
      <c r="D10" s="1">
        <v>1196</v>
      </c>
      <c r="E10" s="1">
        <v>1170</v>
      </c>
      <c r="F10" s="1">
        <v>1312</v>
      </c>
      <c r="G10" s="1">
        <v>1066</v>
      </c>
      <c r="H10" s="1">
        <v>7081</v>
      </c>
    </row>
  </sheetData>
  <conditionalFormatting pivot="1" sqref="B6:H10">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007D2-A227-4B1D-BADC-3AEDF69848CB}">
  <dimension ref="A2:H10"/>
  <sheetViews>
    <sheetView topLeftCell="J1" workbookViewId="0">
      <selection activeCell="J3" sqref="J3"/>
    </sheetView>
  </sheetViews>
  <sheetFormatPr defaultRowHeight="14.4"/>
  <cols>
    <col min="1" max="1" width="21.44140625" bestFit="1" customWidth="1"/>
    <col min="2" max="2" width="16.109375" bestFit="1" customWidth="1"/>
    <col min="3" max="4" width="6.21875" bestFit="1" customWidth="1"/>
    <col min="5" max="5" width="6.109375" bestFit="1" customWidth="1"/>
    <col min="6" max="6" width="6.44140625" bestFit="1" customWidth="1"/>
    <col min="7" max="7" width="6.21875" bestFit="1" customWidth="1"/>
    <col min="8" max="8" width="11.44140625" bestFit="1" customWidth="1"/>
    <col min="9" max="9" width="16" bestFit="1" customWidth="1"/>
    <col min="10" max="10" width="20.109375" bestFit="1" customWidth="1"/>
    <col min="11" max="11" width="16" bestFit="1" customWidth="1"/>
    <col min="12" max="12" width="20.109375" bestFit="1" customWidth="1"/>
    <col min="13" max="13" width="16" bestFit="1" customWidth="1"/>
    <col min="14" max="14" width="25.44140625" bestFit="1" customWidth="1"/>
    <col min="15" max="15" width="21.33203125" bestFit="1" customWidth="1"/>
    <col min="16" max="182" width="12.33203125" bestFit="1" customWidth="1"/>
    <col min="183" max="183" width="12" bestFit="1" customWidth="1"/>
  </cols>
  <sheetData>
    <row r="2" spans="1:8" ht="15" thickBot="1"/>
    <row r="3" spans="1:8">
      <c r="A3" s="18" t="s">
        <v>742</v>
      </c>
      <c r="B3" s="10" t="s">
        <v>733</v>
      </c>
      <c r="C3" s="11"/>
      <c r="D3" s="11"/>
      <c r="E3" s="11"/>
      <c r="F3" s="11"/>
      <c r="G3" s="11"/>
      <c r="H3" s="12"/>
    </row>
    <row r="4" spans="1:8">
      <c r="A4" s="13"/>
      <c r="B4" t="s">
        <v>736</v>
      </c>
      <c r="C4" t="s">
        <v>737</v>
      </c>
      <c r="D4" t="s">
        <v>738</v>
      </c>
      <c r="E4" t="s">
        <v>739</v>
      </c>
      <c r="F4" t="s">
        <v>740</v>
      </c>
      <c r="G4" t="s">
        <v>741</v>
      </c>
      <c r="H4" s="14" t="s">
        <v>730</v>
      </c>
    </row>
    <row r="5" spans="1:8">
      <c r="A5" s="15" t="s">
        <v>729</v>
      </c>
      <c r="H5" s="14"/>
    </row>
    <row r="6" spans="1:8">
      <c r="A6" s="16" t="s">
        <v>10</v>
      </c>
      <c r="B6" s="22">
        <v>0.85283108321070134</v>
      </c>
      <c r="C6" s="22">
        <v>0.8575248692089501</v>
      </c>
      <c r="D6" s="22">
        <v>0.82344946936019492</v>
      </c>
      <c r="E6" s="22">
        <v>0.84431105790076988</v>
      </c>
      <c r="F6" s="22">
        <v>0.84975336154071168</v>
      </c>
      <c r="G6" s="22">
        <v>0.85105828311456944</v>
      </c>
      <c r="H6" s="19">
        <v>0.84629186688271041</v>
      </c>
    </row>
    <row r="7" spans="1:8">
      <c r="A7" s="16" t="s">
        <v>12</v>
      </c>
      <c r="B7" s="22">
        <v>0.80726030435040186</v>
      </c>
      <c r="C7" s="22">
        <v>0.80835741643442727</v>
      </c>
      <c r="D7" s="22">
        <v>0.83206476399411189</v>
      </c>
      <c r="E7" s="22">
        <v>0.83119161750266624</v>
      </c>
      <c r="F7" s="22">
        <v>0.82293221368364866</v>
      </c>
      <c r="G7" s="22">
        <v>0.85659611354796894</v>
      </c>
      <c r="H7" s="19">
        <v>0.82650616206937044</v>
      </c>
    </row>
    <row r="8" spans="1:8">
      <c r="A8" s="16" t="s">
        <v>8</v>
      </c>
      <c r="B8" s="22">
        <v>0.8321325502535234</v>
      </c>
      <c r="C8" s="22">
        <v>0.8634083267987599</v>
      </c>
      <c r="D8" s="22">
        <v>0.86252290902952211</v>
      </c>
      <c r="E8" s="22">
        <v>0.86682189009152877</v>
      </c>
      <c r="F8" s="22">
        <v>0.86315233607303044</v>
      </c>
      <c r="G8" s="22">
        <v>0.84835515912434223</v>
      </c>
      <c r="H8" s="19">
        <v>0.85592699603800948</v>
      </c>
    </row>
    <row r="9" spans="1:8">
      <c r="A9" s="16" t="s">
        <v>6</v>
      </c>
      <c r="B9" s="22">
        <v>0.84573452030288643</v>
      </c>
      <c r="C9" s="22">
        <v>0.85572983898151134</v>
      </c>
      <c r="D9" s="22">
        <v>0.84771723697190193</v>
      </c>
      <c r="E9" s="22">
        <v>0.82150056230107382</v>
      </c>
      <c r="F9" s="22">
        <v>0.80599002016313337</v>
      </c>
      <c r="G9" s="22">
        <v>0.84961171123711288</v>
      </c>
      <c r="H9" s="19">
        <v>0.83743921987957715</v>
      </c>
    </row>
    <row r="10" spans="1:8" ht="15" thickBot="1">
      <c r="A10" s="17" t="s">
        <v>730</v>
      </c>
      <c r="B10" s="20">
        <v>0.83448961452937831</v>
      </c>
      <c r="C10" s="20">
        <v>0.84625511285591237</v>
      </c>
      <c r="D10" s="20">
        <v>0.84143859483893246</v>
      </c>
      <c r="E10" s="20">
        <v>0.84095628194900951</v>
      </c>
      <c r="F10" s="20">
        <v>0.8354569828651307</v>
      </c>
      <c r="G10" s="20">
        <v>0.85140531675599795</v>
      </c>
      <c r="H10" s="21">
        <v>0.8415410612174169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74CA0-B14F-47B1-967A-7ACBF32CFD3A}">
  <dimension ref="A3:A4"/>
  <sheetViews>
    <sheetView workbookViewId="0">
      <selection activeCell="B3" sqref="B3"/>
    </sheetView>
  </sheetViews>
  <sheetFormatPr defaultRowHeight="14.4"/>
  <cols>
    <col min="1" max="1" width="19" bestFit="1" customWidth="1"/>
  </cols>
  <sheetData>
    <row r="3" spans="1:1">
      <c r="A3" t="s">
        <v>747</v>
      </c>
    </row>
    <row r="4" spans="1:1">
      <c r="A4">
        <v>44528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0391-1ACA-43A5-B853-2C82E11E03E1}">
  <dimension ref="A3:A4"/>
  <sheetViews>
    <sheetView zoomScale="124" workbookViewId="0">
      <selection activeCell="A3" sqref="A3"/>
    </sheetView>
  </sheetViews>
  <sheetFormatPr defaultRowHeight="14.4"/>
  <cols>
    <col min="1" max="1" width="14.88671875" bestFit="1" customWidth="1"/>
  </cols>
  <sheetData>
    <row r="3" spans="1:1">
      <c r="A3" t="s">
        <v>731</v>
      </c>
    </row>
    <row r="4" spans="1:1">
      <c r="A4">
        <v>37447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CD564-8948-4EEC-9A58-336FBE8F5451}">
  <dimension ref="A3:A4"/>
  <sheetViews>
    <sheetView workbookViewId="0">
      <selection activeCell="D3" sqref="D3"/>
    </sheetView>
  </sheetViews>
  <sheetFormatPr defaultRowHeight="14.4"/>
  <cols>
    <col min="1" max="1" width="13.6640625" bestFit="1" customWidth="1"/>
  </cols>
  <sheetData>
    <row r="3" spans="1:1">
      <c r="A3" t="s">
        <v>732</v>
      </c>
    </row>
    <row r="4" spans="1:1">
      <c r="A4">
        <v>7081</v>
      </c>
    </row>
  </sheetData>
  <pageMargins left="0.7" right="0.7" top="0.75" bottom="0.75" header="0.3" footer="0.3"/>
  <extLst>
    <ext xmlns:x14="http://schemas.microsoft.com/office/spreadsheetml/2009/9/main" uri="{05C60535-1F16-4fd2-B633-F4F36F0B64E0}">
      <x14:sparklineGroups xmlns:xm="http://schemas.microsoft.com/office/excel/2006/main">
        <x14:sparklineGroup type="stacked" displayEmptyCellsAs="gap" xr2:uid="{31E92620-D6D2-4F2B-9166-37A9BD6E1CB0}">
          <x14:colorSeries rgb="FF376092"/>
          <x14:colorNegative rgb="FFD00000"/>
          <x14:colorAxis rgb="FF000000"/>
          <x14:colorMarkers rgb="FFD00000"/>
          <x14:colorFirst rgb="FFD00000"/>
          <x14:colorLast rgb="FFD00000"/>
          <x14:colorHigh rgb="FFD00000"/>
          <x14:colorLow rgb="FFD00000"/>
          <x14:sparklines>
            <x14:sparkline>
              <xm:f>'Sum of Failed'!A4</xm:f>
              <xm:sqref>D3</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4F450-BF8F-4896-AA2E-22D6F65FCDE9}">
  <dimension ref="A3:A4"/>
  <sheetViews>
    <sheetView workbookViewId="0">
      <selection activeCell="B9" sqref="B9"/>
    </sheetView>
  </sheetViews>
  <sheetFormatPr defaultRowHeight="14.4"/>
  <cols>
    <col min="1" max="1" width="16.88671875" bestFit="1" customWidth="1"/>
  </cols>
  <sheetData>
    <row r="3" spans="1:1">
      <c r="A3" t="s">
        <v>748</v>
      </c>
    </row>
    <row r="4" spans="1:1">
      <c r="A4" s="22">
        <v>0.84097646424721528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BC04-2FBC-4298-9DB7-34082699AC07}">
  <dimension ref="A1:L729"/>
  <sheetViews>
    <sheetView workbookViewId="0">
      <selection activeCell="J2" sqref="J2"/>
    </sheetView>
  </sheetViews>
  <sheetFormatPr defaultRowHeight="14.4"/>
  <cols>
    <col min="1" max="1" width="13.5546875" bestFit="1" customWidth="1"/>
    <col min="2" max="2" width="13.88671875" bestFit="1" customWidth="1"/>
    <col min="3" max="3" width="11.5546875" customWidth="1"/>
    <col min="4" max="4" width="16" customWidth="1"/>
    <col min="5" max="5" width="10.5546875" customWidth="1"/>
    <col min="6" max="6" width="10" customWidth="1"/>
    <col min="7" max="7" width="9.88671875" bestFit="1" customWidth="1"/>
    <col min="8" max="8" width="14.33203125" style="7" customWidth="1"/>
  </cols>
  <sheetData>
    <row r="1" spans="1:12" ht="17.399999999999999">
      <c r="A1" s="27" t="s">
        <v>0</v>
      </c>
      <c r="B1" s="28" t="s">
        <v>1</v>
      </c>
      <c r="C1" s="28" t="s">
        <v>2</v>
      </c>
      <c r="D1" s="28" t="s">
        <v>3</v>
      </c>
      <c r="E1" s="28" t="s">
        <v>4</v>
      </c>
      <c r="F1" s="28" t="s">
        <v>5</v>
      </c>
      <c r="G1" s="28" t="s">
        <v>727</v>
      </c>
      <c r="H1" s="29" t="s">
        <v>728</v>
      </c>
    </row>
    <row r="2" spans="1:12" ht="17.399999999999999">
      <c r="A2" s="25">
        <v>45658</v>
      </c>
      <c r="B2" s="3" t="s">
        <v>6</v>
      </c>
      <c r="C2" s="3" t="s">
        <v>7</v>
      </c>
      <c r="D2" s="3">
        <v>23</v>
      </c>
      <c r="E2" s="3">
        <v>20</v>
      </c>
      <c r="F2" s="3">
        <v>3</v>
      </c>
      <c r="G2" s="3" t="str">
        <f>TEXT(A2,"yyyy-mm")</f>
        <v>2025-01</v>
      </c>
      <c r="H2" s="26">
        <f>E2/D2</f>
        <v>0.86956521739130432</v>
      </c>
    </row>
    <row r="3" spans="1:12" ht="17.399999999999999">
      <c r="A3" s="25">
        <v>45658</v>
      </c>
      <c r="B3" s="3" t="s">
        <v>8</v>
      </c>
      <c r="C3" s="3" t="s">
        <v>9</v>
      </c>
      <c r="D3" s="3">
        <v>48</v>
      </c>
      <c r="E3" s="3">
        <v>37</v>
      </c>
      <c r="F3" s="3">
        <v>11</v>
      </c>
      <c r="G3" s="3" t="str">
        <f t="shared" ref="G3:G66" si="0">TEXT(A3,"yyyy-mm")</f>
        <v>2025-01</v>
      </c>
      <c r="H3" s="26">
        <f t="shared" ref="H3:H66" si="1">E3/D3</f>
        <v>0.77083333333333337</v>
      </c>
    </row>
    <row r="4" spans="1:12" ht="17.399999999999999">
      <c r="A4" s="25">
        <v>45658</v>
      </c>
      <c r="B4" s="3" t="s">
        <v>10</v>
      </c>
      <c r="C4" s="3" t="s">
        <v>11</v>
      </c>
      <c r="D4" s="3">
        <v>89</v>
      </c>
      <c r="E4" s="3">
        <v>64</v>
      </c>
      <c r="F4" s="3">
        <v>25</v>
      </c>
      <c r="G4" s="3" t="str">
        <f t="shared" si="0"/>
        <v>2025-01</v>
      </c>
      <c r="H4" s="26">
        <f t="shared" si="1"/>
        <v>0.7191011235955056</v>
      </c>
    </row>
    <row r="5" spans="1:12" ht="17.399999999999999">
      <c r="A5" s="25">
        <v>45658</v>
      </c>
      <c r="B5" s="3" t="s">
        <v>12</v>
      </c>
      <c r="C5" s="3" t="s">
        <v>13</v>
      </c>
      <c r="D5" s="3">
        <v>24</v>
      </c>
      <c r="E5" s="3">
        <v>16</v>
      </c>
      <c r="F5" s="3">
        <v>8</v>
      </c>
      <c r="G5" s="3" t="str">
        <f t="shared" si="0"/>
        <v>2025-01</v>
      </c>
      <c r="H5" s="26">
        <f t="shared" si="1"/>
        <v>0.66666666666666663</v>
      </c>
    </row>
    <row r="6" spans="1:12" ht="17.399999999999999">
      <c r="A6" s="25">
        <v>45659</v>
      </c>
      <c r="B6" s="3" t="s">
        <v>6</v>
      </c>
      <c r="C6" s="3" t="s">
        <v>14</v>
      </c>
      <c r="D6" s="3">
        <v>47</v>
      </c>
      <c r="E6" s="3">
        <v>39</v>
      </c>
      <c r="F6" s="3">
        <v>8</v>
      </c>
      <c r="G6" s="3" t="str">
        <f t="shared" si="0"/>
        <v>2025-01</v>
      </c>
      <c r="H6" s="26">
        <f t="shared" si="1"/>
        <v>0.82978723404255317</v>
      </c>
    </row>
    <row r="7" spans="1:12" ht="17.399999999999999">
      <c r="A7" s="25">
        <v>45659</v>
      </c>
      <c r="B7" s="3" t="s">
        <v>8</v>
      </c>
      <c r="C7" s="3" t="s">
        <v>15</v>
      </c>
      <c r="D7" s="3">
        <v>97</v>
      </c>
      <c r="E7" s="3">
        <v>67</v>
      </c>
      <c r="F7" s="3">
        <v>30</v>
      </c>
      <c r="G7" s="3" t="str">
        <f t="shared" si="0"/>
        <v>2025-01</v>
      </c>
      <c r="H7" s="26">
        <f t="shared" si="1"/>
        <v>0.69072164948453607</v>
      </c>
    </row>
    <row r="8" spans="1:12" ht="17.399999999999999">
      <c r="A8" s="25">
        <v>45659</v>
      </c>
      <c r="B8" s="3" t="s">
        <v>10</v>
      </c>
      <c r="C8" s="3" t="s">
        <v>16</v>
      </c>
      <c r="D8" s="3">
        <v>89</v>
      </c>
      <c r="E8" s="3">
        <v>75</v>
      </c>
      <c r="F8" s="3">
        <v>14</v>
      </c>
      <c r="G8" s="3" t="str">
        <f t="shared" si="0"/>
        <v>2025-01</v>
      </c>
      <c r="H8" s="26">
        <f t="shared" si="1"/>
        <v>0.84269662921348309</v>
      </c>
    </row>
    <row r="9" spans="1:12" ht="17.399999999999999">
      <c r="A9" s="25">
        <v>45659</v>
      </c>
      <c r="B9" s="3" t="s">
        <v>12</v>
      </c>
      <c r="C9" s="3" t="s">
        <v>17</v>
      </c>
      <c r="D9" s="3">
        <v>77</v>
      </c>
      <c r="E9" s="3">
        <v>71</v>
      </c>
      <c r="F9" s="3">
        <v>6</v>
      </c>
      <c r="G9" s="3" t="str">
        <f t="shared" si="0"/>
        <v>2025-01</v>
      </c>
      <c r="H9" s="26">
        <f t="shared" si="1"/>
        <v>0.92207792207792205</v>
      </c>
      <c r="J9" s="1" t="s">
        <v>743</v>
      </c>
      <c r="K9" s="1"/>
      <c r="L9" s="1">
        <f>SUM(D2:D725)</f>
        <v>44528</v>
      </c>
    </row>
    <row r="10" spans="1:12" ht="17.399999999999999">
      <c r="A10" s="25">
        <v>45660</v>
      </c>
      <c r="B10" s="3" t="s">
        <v>6</v>
      </c>
      <c r="C10" s="3" t="s">
        <v>18</v>
      </c>
      <c r="D10" s="3">
        <v>20</v>
      </c>
      <c r="E10" s="3">
        <v>20</v>
      </c>
      <c r="F10" s="3">
        <v>0</v>
      </c>
      <c r="G10" s="3" t="str">
        <f t="shared" si="0"/>
        <v>2025-01</v>
      </c>
      <c r="H10" s="26">
        <f t="shared" si="1"/>
        <v>1</v>
      </c>
      <c r="J10" s="1" t="s">
        <v>744</v>
      </c>
      <c r="K10" s="1"/>
      <c r="L10" s="1">
        <f>SUM(E2:E725)</f>
        <v>37447</v>
      </c>
    </row>
    <row r="11" spans="1:12" ht="17.399999999999999">
      <c r="A11" s="25">
        <v>45660</v>
      </c>
      <c r="B11" s="3" t="s">
        <v>8</v>
      </c>
      <c r="C11" s="3" t="s">
        <v>19</v>
      </c>
      <c r="D11" s="3">
        <v>74</v>
      </c>
      <c r="E11" s="3">
        <v>61</v>
      </c>
      <c r="F11" s="3">
        <v>13</v>
      </c>
      <c r="G11" s="3" t="str">
        <f t="shared" si="0"/>
        <v>2025-01</v>
      </c>
      <c r="H11" s="26">
        <f t="shared" si="1"/>
        <v>0.82432432432432434</v>
      </c>
      <c r="J11" s="1" t="s">
        <v>745</v>
      </c>
      <c r="K11" s="1"/>
      <c r="L11" s="1">
        <f>SUM(F2:F725)</f>
        <v>7081</v>
      </c>
    </row>
    <row r="12" spans="1:12" ht="17.399999999999999">
      <c r="A12" s="25">
        <v>45660</v>
      </c>
      <c r="B12" s="3" t="s">
        <v>10</v>
      </c>
      <c r="C12" s="3" t="s">
        <v>20</v>
      </c>
      <c r="D12" s="3">
        <v>39</v>
      </c>
      <c r="E12" s="3">
        <v>30</v>
      </c>
      <c r="F12" s="3">
        <v>9</v>
      </c>
      <c r="G12" s="3" t="str">
        <f t="shared" si="0"/>
        <v>2025-01</v>
      </c>
      <c r="H12" s="26">
        <f t="shared" si="1"/>
        <v>0.76923076923076927</v>
      </c>
      <c r="J12" s="1" t="s">
        <v>746</v>
      </c>
      <c r="K12" s="1"/>
      <c r="L12" s="8">
        <f>L10/L9</f>
        <v>0.84097646424721528</v>
      </c>
    </row>
    <row r="13" spans="1:12" ht="17.399999999999999">
      <c r="A13" s="25">
        <v>45660</v>
      </c>
      <c r="B13" s="3" t="s">
        <v>12</v>
      </c>
      <c r="C13" s="3" t="s">
        <v>21</v>
      </c>
      <c r="D13" s="3">
        <v>33</v>
      </c>
      <c r="E13" s="3">
        <v>24</v>
      </c>
      <c r="F13" s="3">
        <v>9</v>
      </c>
      <c r="G13" s="3" t="str">
        <f t="shared" si="0"/>
        <v>2025-01</v>
      </c>
      <c r="H13" s="26">
        <f t="shared" si="1"/>
        <v>0.72727272727272729</v>
      </c>
    </row>
    <row r="14" spans="1:12" ht="17.399999999999999">
      <c r="A14" s="25">
        <v>45661</v>
      </c>
      <c r="B14" s="3" t="s">
        <v>6</v>
      </c>
      <c r="C14" s="3" t="s">
        <v>22</v>
      </c>
      <c r="D14" s="3">
        <v>32</v>
      </c>
      <c r="E14" s="3">
        <v>27</v>
      </c>
      <c r="F14" s="3">
        <v>5</v>
      </c>
      <c r="G14" s="3" t="str">
        <f t="shared" si="0"/>
        <v>2025-01</v>
      </c>
      <c r="H14" s="26">
        <f t="shared" si="1"/>
        <v>0.84375</v>
      </c>
    </row>
    <row r="15" spans="1:12" ht="17.399999999999999">
      <c r="A15" s="25">
        <v>45661</v>
      </c>
      <c r="B15" s="3" t="s">
        <v>8</v>
      </c>
      <c r="C15" s="3" t="s">
        <v>23</v>
      </c>
      <c r="D15" s="3">
        <v>97</v>
      </c>
      <c r="E15" s="3">
        <v>75</v>
      </c>
      <c r="F15" s="3">
        <v>22</v>
      </c>
      <c r="G15" s="3" t="str">
        <f t="shared" si="0"/>
        <v>2025-01</v>
      </c>
      <c r="H15" s="26">
        <f t="shared" si="1"/>
        <v>0.77319587628865982</v>
      </c>
    </row>
    <row r="16" spans="1:12" ht="17.399999999999999">
      <c r="A16" s="25">
        <v>45661</v>
      </c>
      <c r="B16" s="3" t="s">
        <v>10</v>
      </c>
      <c r="C16" s="3" t="s">
        <v>24</v>
      </c>
      <c r="D16" s="3">
        <v>78</v>
      </c>
      <c r="E16" s="3">
        <v>71</v>
      </c>
      <c r="F16" s="3">
        <v>7</v>
      </c>
      <c r="G16" s="3" t="str">
        <f t="shared" si="0"/>
        <v>2025-01</v>
      </c>
      <c r="H16" s="26">
        <f t="shared" si="1"/>
        <v>0.91025641025641024</v>
      </c>
    </row>
    <row r="17" spans="1:8" ht="17.399999999999999">
      <c r="A17" s="25">
        <v>45661</v>
      </c>
      <c r="B17" s="3" t="s">
        <v>12</v>
      </c>
      <c r="C17" s="3" t="s">
        <v>25</v>
      </c>
      <c r="D17" s="3">
        <v>68</v>
      </c>
      <c r="E17" s="3">
        <v>49</v>
      </c>
      <c r="F17" s="3">
        <v>19</v>
      </c>
      <c r="G17" s="3" t="str">
        <f t="shared" si="0"/>
        <v>2025-01</v>
      </c>
      <c r="H17" s="26">
        <f t="shared" si="1"/>
        <v>0.72058823529411764</v>
      </c>
    </row>
    <row r="18" spans="1:8" ht="17.399999999999999">
      <c r="A18" s="25">
        <v>45662</v>
      </c>
      <c r="B18" s="3" t="s">
        <v>6</v>
      </c>
      <c r="C18" s="3" t="s">
        <v>26</v>
      </c>
      <c r="D18" s="3">
        <v>100</v>
      </c>
      <c r="E18" s="3">
        <v>89</v>
      </c>
      <c r="F18" s="3">
        <v>11</v>
      </c>
      <c r="G18" s="3" t="str">
        <f t="shared" si="0"/>
        <v>2025-01</v>
      </c>
      <c r="H18" s="26">
        <f t="shared" si="1"/>
        <v>0.89</v>
      </c>
    </row>
    <row r="19" spans="1:8" ht="17.399999999999999">
      <c r="A19" s="25">
        <v>45662</v>
      </c>
      <c r="B19" s="3" t="s">
        <v>8</v>
      </c>
      <c r="C19" s="3" t="s">
        <v>27</v>
      </c>
      <c r="D19" s="3">
        <v>93</v>
      </c>
      <c r="E19" s="3">
        <v>71</v>
      </c>
      <c r="F19" s="3">
        <v>22</v>
      </c>
      <c r="G19" s="3" t="str">
        <f t="shared" si="0"/>
        <v>2025-01</v>
      </c>
      <c r="H19" s="26">
        <f t="shared" si="1"/>
        <v>0.76344086021505375</v>
      </c>
    </row>
    <row r="20" spans="1:8" ht="17.399999999999999">
      <c r="A20" s="25">
        <v>45662</v>
      </c>
      <c r="B20" s="3" t="s">
        <v>10</v>
      </c>
      <c r="C20" s="3" t="s">
        <v>28</v>
      </c>
      <c r="D20" s="3">
        <v>25</v>
      </c>
      <c r="E20" s="3">
        <v>20</v>
      </c>
      <c r="F20" s="3">
        <v>5</v>
      </c>
      <c r="G20" s="3" t="str">
        <f t="shared" si="0"/>
        <v>2025-01</v>
      </c>
      <c r="H20" s="26">
        <f t="shared" si="1"/>
        <v>0.8</v>
      </c>
    </row>
    <row r="21" spans="1:8" ht="17.399999999999999">
      <c r="A21" s="25">
        <v>45662</v>
      </c>
      <c r="B21" s="3" t="s">
        <v>12</v>
      </c>
      <c r="C21" s="3" t="s">
        <v>29</v>
      </c>
      <c r="D21" s="3">
        <v>30</v>
      </c>
      <c r="E21" s="3">
        <v>24</v>
      </c>
      <c r="F21" s="3">
        <v>6</v>
      </c>
      <c r="G21" s="3" t="str">
        <f t="shared" si="0"/>
        <v>2025-01</v>
      </c>
      <c r="H21" s="26">
        <f t="shared" si="1"/>
        <v>0.8</v>
      </c>
    </row>
    <row r="22" spans="1:8" ht="17.399999999999999">
      <c r="A22" s="25">
        <v>45663</v>
      </c>
      <c r="B22" s="3" t="s">
        <v>6</v>
      </c>
      <c r="C22" s="3" t="s">
        <v>30</v>
      </c>
      <c r="D22" s="3">
        <v>68</v>
      </c>
      <c r="E22" s="3">
        <v>55</v>
      </c>
      <c r="F22" s="3">
        <v>13</v>
      </c>
      <c r="G22" s="3" t="str">
        <f t="shared" si="0"/>
        <v>2025-01</v>
      </c>
      <c r="H22" s="26">
        <f t="shared" si="1"/>
        <v>0.80882352941176472</v>
      </c>
    </row>
    <row r="23" spans="1:8" ht="17.399999999999999">
      <c r="A23" s="25">
        <v>45663</v>
      </c>
      <c r="B23" s="3" t="s">
        <v>8</v>
      </c>
      <c r="C23" s="3" t="s">
        <v>31</v>
      </c>
      <c r="D23" s="3">
        <v>66</v>
      </c>
      <c r="E23" s="3">
        <v>51</v>
      </c>
      <c r="F23" s="3">
        <v>15</v>
      </c>
      <c r="G23" s="3" t="str">
        <f t="shared" si="0"/>
        <v>2025-01</v>
      </c>
      <c r="H23" s="26">
        <f t="shared" si="1"/>
        <v>0.77272727272727271</v>
      </c>
    </row>
    <row r="24" spans="1:8" ht="17.399999999999999">
      <c r="A24" s="25">
        <v>45663</v>
      </c>
      <c r="B24" s="3" t="s">
        <v>10</v>
      </c>
      <c r="C24" s="3" t="s">
        <v>32</v>
      </c>
      <c r="D24" s="3">
        <v>65</v>
      </c>
      <c r="E24" s="3">
        <v>51</v>
      </c>
      <c r="F24" s="3">
        <v>14</v>
      </c>
      <c r="G24" s="3" t="str">
        <f t="shared" si="0"/>
        <v>2025-01</v>
      </c>
      <c r="H24" s="26">
        <f t="shared" si="1"/>
        <v>0.7846153846153846</v>
      </c>
    </row>
    <row r="25" spans="1:8" ht="17.399999999999999">
      <c r="A25" s="25">
        <v>45663</v>
      </c>
      <c r="B25" s="3" t="s">
        <v>12</v>
      </c>
      <c r="C25" s="3" t="s">
        <v>33</v>
      </c>
      <c r="D25" s="3">
        <v>29</v>
      </c>
      <c r="E25" s="3">
        <v>29</v>
      </c>
      <c r="F25" s="3">
        <v>0</v>
      </c>
      <c r="G25" s="3" t="str">
        <f t="shared" si="0"/>
        <v>2025-01</v>
      </c>
      <c r="H25" s="26">
        <f t="shared" si="1"/>
        <v>1</v>
      </c>
    </row>
    <row r="26" spans="1:8" ht="17.399999999999999">
      <c r="A26" s="25">
        <v>45664</v>
      </c>
      <c r="B26" s="3" t="s">
        <v>6</v>
      </c>
      <c r="C26" s="3" t="s">
        <v>34</v>
      </c>
      <c r="D26" s="3">
        <v>88</v>
      </c>
      <c r="E26" s="3">
        <v>84</v>
      </c>
      <c r="F26" s="3">
        <v>4</v>
      </c>
      <c r="G26" s="3" t="str">
        <f t="shared" si="0"/>
        <v>2025-01</v>
      </c>
      <c r="H26" s="26">
        <f t="shared" si="1"/>
        <v>0.95454545454545459</v>
      </c>
    </row>
    <row r="27" spans="1:8" ht="17.399999999999999">
      <c r="A27" s="25">
        <v>45664</v>
      </c>
      <c r="B27" s="3" t="s">
        <v>8</v>
      </c>
      <c r="C27" s="3" t="s">
        <v>35</v>
      </c>
      <c r="D27" s="3">
        <v>40</v>
      </c>
      <c r="E27" s="3">
        <v>35</v>
      </c>
      <c r="F27" s="3">
        <v>5</v>
      </c>
      <c r="G27" s="3" t="str">
        <f t="shared" si="0"/>
        <v>2025-01</v>
      </c>
      <c r="H27" s="26">
        <f t="shared" si="1"/>
        <v>0.875</v>
      </c>
    </row>
    <row r="28" spans="1:8" ht="17.399999999999999">
      <c r="A28" s="25">
        <v>45664</v>
      </c>
      <c r="B28" s="3" t="s">
        <v>10</v>
      </c>
      <c r="C28" s="3" t="s">
        <v>36</v>
      </c>
      <c r="D28" s="3">
        <v>54</v>
      </c>
      <c r="E28" s="3">
        <v>54</v>
      </c>
      <c r="F28" s="3">
        <v>0</v>
      </c>
      <c r="G28" s="3" t="str">
        <f t="shared" si="0"/>
        <v>2025-01</v>
      </c>
      <c r="H28" s="26">
        <f t="shared" si="1"/>
        <v>1</v>
      </c>
    </row>
    <row r="29" spans="1:8" ht="17.399999999999999">
      <c r="A29" s="25">
        <v>45664</v>
      </c>
      <c r="B29" s="3" t="s">
        <v>12</v>
      </c>
      <c r="C29" s="3" t="s">
        <v>37</v>
      </c>
      <c r="D29" s="3">
        <v>61</v>
      </c>
      <c r="E29" s="3">
        <v>43</v>
      </c>
      <c r="F29" s="3">
        <v>18</v>
      </c>
      <c r="G29" s="3" t="str">
        <f t="shared" si="0"/>
        <v>2025-01</v>
      </c>
      <c r="H29" s="26">
        <f t="shared" si="1"/>
        <v>0.70491803278688525</v>
      </c>
    </row>
    <row r="30" spans="1:8" ht="17.399999999999999">
      <c r="A30" s="25">
        <v>45665</v>
      </c>
      <c r="B30" s="3" t="s">
        <v>6</v>
      </c>
      <c r="C30" s="3" t="s">
        <v>38</v>
      </c>
      <c r="D30" s="3">
        <v>24</v>
      </c>
      <c r="E30" s="3">
        <v>21</v>
      </c>
      <c r="F30" s="3">
        <v>3</v>
      </c>
      <c r="G30" s="3" t="str">
        <f t="shared" si="0"/>
        <v>2025-01</v>
      </c>
      <c r="H30" s="26">
        <f t="shared" si="1"/>
        <v>0.875</v>
      </c>
    </row>
    <row r="31" spans="1:8" ht="17.399999999999999">
      <c r="A31" s="25">
        <v>45665</v>
      </c>
      <c r="B31" s="3" t="s">
        <v>8</v>
      </c>
      <c r="C31" s="3" t="s">
        <v>39</v>
      </c>
      <c r="D31" s="3">
        <v>54</v>
      </c>
      <c r="E31" s="3">
        <v>39</v>
      </c>
      <c r="F31" s="3">
        <v>15</v>
      </c>
      <c r="G31" s="3" t="str">
        <f t="shared" si="0"/>
        <v>2025-01</v>
      </c>
      <c r="H31" s="26">
        <f t="shared" si="1"/>
        <v>0.72222222222222221</v>
      </c>
    </row>
    <row r="32" spans="1:8" ht="17.399999999999999">
      <c r="A32" s="25">
        <v>45665</v>
      </c>
      <c r="B32" s="3" t="s">
        <v>10</v>
      </c>
      <c r="C32" s="3" t="s">
        <v>40</v>
      </c>
      <c r="D32" s="3">
        <v>92</v>
      </c>
      <c r="E32" s="3">
        <v>92</v>
      </c>
      <c r="F32" s="3">
        <v>0</v>
      </c>
      <c r="G32" s="3" t="str">
        <f t="shared" si="0"/>
        <v>2025-01</v>
      </c>
      <c r="H32" s="26">
        <f t="shared" si="1"/>
        <v>1</v>
      </c>
    </row>
    <row r="33" spans="1:8" ht="17.399999999999999">
      <c r="A33" s="25">
        <v>45665</v>
      </c>
      <c r="B33" s="3" t="s">
        <v>12</v>
      </c>
      <c r="C33" s="3" t="s">
        <v>41</v>
      </c>
      <c r="D33" s="3">
        <v>47</v>
      </c>
      <c r="E33" s="3">
        <v>47</v>
      </c>
      <c r="F33" s="3">
        <v>0</v>
      </c>
      <c r="G33" s="3" t="str">
        <f t="shared" si="0"/>
        <v>2025-01</v>
      </c>
      <c r="H33" s="26">
        <f t="shared" si="1"/>
        <v>1</v>
      </c>
    </row>
    <row r="34" spans="1:8" ht="17.399999999999999">
      <c r="A34" s="25">
        <v>45666</v>
      </c>
      <c r="B34" s="3" t="s">
        <v>6</v>
      </c>
      <c r="C34" s="3" t="s">
        <v>42</v>
      </c>
      <c r="D34" s="3">
        <v>78</v>
      </c>
      <c r="E34" s="3">
        <v>58</v>
      </c>
      <c r="F34" s="3">
        <v>20</v>
      </c>
      <c r="G34" s="3" t="str">
        <f t="shared" si="0"/>
        <v>2025-01</v>
      </c>
      <c r="H34" s="26">
        <f t="shared" si="1"/>
        <v>0.74358974358974361</v>
      </c>
    </row>
    <row r="35" spans="1:8" ht="17.399999999999999">
      <c r="A35" s="25">
        <v>45666</v>
      </c>
      <c r="B35" s="3" t="s">
        <v>8</v>
      </c>
      <c r="C35" s="3" t="s">
        <v>43</v>
      </c>
      <c r="D35" s="3">
        <v>37</v>
      </c>
      <c r="E35" s="3">
        <v>28</v>
      </c>
      <c r="F35" s="3">
        <v>9</v>
      </c>
      <c r="G35" s="3" t="str">
        <f t="shared" si="0"/>
        <v>2025-01</v>
      </c>
      <c r="H35" s="26">
        <f t="shared" si="1"/>
        <v>0.7567567567567568</v>
      </c>
    </row>
    <row r="36" spans="1:8" ht="17.399999999999999">
      <c r="A36" s="25">
        <v>45666</v>
      </c>
      <c r="B36" s="3" t="s">
        <v>10</v>
      </c>
      <c r="C36" s="3" t="s">
        <v>44</v>
      </c>
      <c r="D36" s="3">
        <v>53</v>
      </c>
      <c r="E36" s="3">
        <v>50</v>
      </c>
      <c r="F36" s="3">
        <v>3</v>
      </c>
      <c r="G36" s="3" t="str">
        <f t="shared" si="0"/>
        <v>2025-01</v>
      </c>
      <c r="H36" s="26">
        <f t="shared" si="1"/>
        <v>0.94339622641509435</v>
      </c>
    </row>
    <row r="37" spans="1:8" ht="17.399999999999999">
      <c r="A37" s="25">
        <v>45666</v>
      </c>
      <c r="B37" s="3" t="s">
        <v>12</v>
      </c>
      <c r="C37" s="3" t="s">
        <v>45</v>
      </c>
      <c r="D37" s="3">
        <v>66</v>
      </c>
      <c r="E37" s="3">
        <v>53</v>
      </c>
      <c r="F37" s="3">
        <v>13</v>
      </c>
      <c r="G37" s="3" t="str">
        <f t="shared" si="0"/>
        <v>2025-01</v>
      </c>
      <c r="H37" s="26">
        <f t="shared" si="1"/>
        <v>0.80303030303030298</v>
      </c>
    </row>
    <row r="38" spans="1:8" ht="17.399999999999999">
      <c r="A38" s="25">
        <v>45667</v>
      </c>
      <c r="B38" s="3" t="s">
        <v>6</v>
      </c>
      <c r="C38" s="3" t="s">
        <v>46</v>
      </c>
      <c r="D38" s="3">
        <v>85</v>
      </c>
      <c r="E38" s="3">
        <v>74</v>
      </c>
      <c r="F38" s="3">
        <v>11</v>
      </c>
      <c r="G38" s="3" t="str">
        <f t="shared" si="0"/>
        <v>2025-01</v>
      </c>
      <c r="H38" s="26">
        <f t="shared" si="1"/>
        <v>0.87058823529411766</v>
      </c>
    </row>
    <row r="39" spans="1:8" ht="17.399999999999999">
      <c r="A39" s="25">
        <v>45667</v>
      </c>
      <c r="B39" s="3" t="s">
        <v>8</v>
      </c>
      <c r="C39" s="3" t="s">
        <v>47</v>
      </c>
      <c r="D39" s="3">
        <v>26</v>
      </c>
      <c r="E39" s="3">
        <v>19</v>
      </c>
      <c r="F39" s="3">
        <v>7</v>
      </c>
      <c r="G39" s="3" t="str">
        <f t="shared" si="0"/>
        <v>2025-01</v>
      </c>
      <c r="H39" s="26">
        <f t="shared" si="1"/>
        <v>0.73076923076923073</v>
      </c>
    </row>
    <row r="40" spans="1:8" ht="17.399999999999999">
      <c r="A40" s="25">
        <v>45667</v>
      </c>
      <c r="B40" s="3" t="s">
        <v>10</v>
      </c>
      <c r="C40" s="3" t="s">
        <v>48</v>
      </c>
      <c r="D40" s="3">
        <v>100</v>
      </c>
      <c r="E40" s="3">
        <v>75</v>
      </c>
      <c r="F40" s="3">
        <v>25</v>
      </c>
      <c r="G40" s="3" t="str">
        <f t="shared" si="0"/>
        <v>2025-01</v>
      </c>
      <c r="H40" s="26">
        <f t="shared" si="1"/>
        <v>0.75</v>
      </c>
    </row>
    <row r="41" spans="1:8" ht="17.399999999999999">
      <c r="A41" s="25">
        <v>45667</v>
      </c>
      <c r="B41" s="3" t="s">
        <v>12</v>
      </c>
      <c r="C41" s="3" t="s">
        <v>49</v>
      </c>
      <c r="D41" s="3">
        <v>96</v>
      </c>
      <c r="E41" s="3">
        <v>69</v>
      </c>
      <c r="F41" s="3">
        <v>27</v>
      </c>
      <c r="G41" s="3" t="str">
        <f t="shared" si="0"/>
        <v>2025-01</v>
      </c>
      <c r="H41" s="26">
        <f t="shared" si="1"/>
        <v>0.71875</v>
      </c>
    </row>
    <row r="42" spans="1:8" ht="17.399999999999999">
      <c r="A42" s="25">
        <v>45668</v>
      </c>
      <c r="B42" s="3" t="s">
        <v>6</v>
      </c>
      <c r="C42" s="3" t="s">
        <v>50</v>
      </c>
      <c r="D42" s="3">
        <v>68</v>
      </c>
      <c r="E42" s="3">
        <v>66</v>
      </c>
      <c r="F42" s="3">
        <v>2</v>
      </c>
      <c r="G42" s="3" t="str">
        <f t="shared" si="0"/>
        <v>2025-01</v>
      </c>
      <c r="H42" s="26">
        <f t="shared" si="1"/>
        <v>0.97058823529411764</v>
      </c>
    </row>
    <row r="43" spans="1:8" ht="17.399999999999999">
      <c r="A43" s="25">
        <v>45668</v>
      </c>
      <c r="B43" s="3" t="s">
        <v>8</v>
      </c>
      <c r="C43" s="3" t="s">
        <v>51</v>
      </c>
      <c r="D43" s="3">
        <v>87</v>
      </c>
      <c r="E43" s="3">
        <v>68</v>
      </c>
      <c r="F43" s="3">
        <v>19</v>
      </c>
      <c r="G43" s="3" t="str">
        <f t="shared" si="0"/>
        <v>2025-01</v>
      </c>
      <c r="H43" s="26">
        <f t="shared" si="1"/>
        <v>0.7816091954022989</v>
      </c>
    </row>
    <row r="44" spans="1:8" ht="17.399999999999999">
      <c r="A44" s="25">
        <v>45668</v>
      </c>
      <c r="B44" s="3" t="s">
        <v>10</v>
      </c>
      <c r="C44" s="3" t="s">
        <v>52</v>
      </c>
      <c r="D44" s="3">
        <v>34</v>
      </c>
      <c r="E44" s="3">
        <v>33</v>
      </c>
      <c r="F44" s="3">
        <v>1</v>
      </c>
      <c r="G44" s="3" t="str">
        <f t="shared" si="0"/>
        <v>2025-01</v>
      </c>
      <c r="H44" s="26">
        <f t="shared" si="1"/>
        <v>0.97058823529411764</v>
      </c>
    </row>
    <row r="45" spans="1:8" ht="17.399999999999999">
      <c r="A45" s="25">
        <v>45668</v>
      </c>
      <c r="B45" s="3" t="s">
        <v>12</v>
      </c>
      <c r="C45" s="3" t="s">
        <v>53</v>
      </c>
      <c r="D45" s="3">
        <v>54</v>
      </c>
      <c r="E45" s="3">
        <v>47</v>
      </c>
      <c r="F45" s="3">
        <v>7</v>
      </c>
      <c r="G45" s="3" t="str">
        <f t="shared" si="0"/>
        <v>2025-01</v>
      </c>
      <c r="H45" s="26">
        <f t="shared" si="1"/>
        <v>0.87037037037037035</v>
      </c>
    </row>
    <row r="46" spans="1:8" ht="17.399999999999999">
      <c r="A46" s="25">
        <v>45669</v>
      </c>
      <c r="B46" s="3" t="s">
        <v>6</v>
      </c>
      <c r="C46" s="3" t="s">
        <v>54</v>
      </c>
      <c r="D46" s="3">
        <v>57</v>
      </c>
      <c r="E46" s="3">
        <v>52</v>
      </c>
      <c r="F46" s="3">
        <v>5</v>
      </c>
      <c r="G46" s="3" t="str">
        <f t="shared" si="0"/>
        <v>2025-01</v>
      </c>
      <c r="H46" s="26">
        <f t="shared" si="1"/>
        <v>0.91228070175438591</v>
      </c>
    </row>
    <row r="47" spans="1:8" ht="17.399999999999999">
      <c r="A47" s="25">
        <v>45669</v>
      </c>
      <c r="B47" s="3" t="s">
        <v>8</v>
      </c>
      <c r="C47" s="3" t="s">
        <v>55</v>
      </c>
      <c r="D47" s="3">
        <v>78</v>
      </c>
      <c r="E47" s="3">
        <v>54</v>
      </c>
      <c r="F47" s="3">
        <v>24</v>
      </c>
      <c r="G47" s="3" t="str">
        <f t="shared" si="0"/>
        <v>2025-01</v>
      </c>
      <c r="H47" s="26">
        <f t="shared" si="1"/>
        <v>0.69230769230769229</v>
      </c>
    </row>
    <row r="48" spans="1:8" ht="17.399999999999999">
      <c r="A48" s="25">
        <v>45669</v>
      </c>
      <c r="B48" s="3" t="s">
        <v>10</v>
      </c>
      <c r="C48" s="3" t="s">
        <v>56</v>
      </c>
      <c r="D48" s="3">
        <v>84</v>
      </c>
      <c r="E48" s="3">
        <v>82</v>
      </c>
      <c r="F48" s="3">
        <v>2</v>
      </c>
      <c r="G48" s="3" t="str">
        <f t="shared" si="0"/>
        <v>2025-01</v>
      </c>
      <c r="H48" s="26">
        <f t="shared" si="1"/>
        <v>0.97619047619047616</v>
      </c>
    </row>
    <row r="49" spans="1:8" ht="17.399999999999999">
      <c r="A49" s="25">
        <v>45669</v>
      </c>
      <c r="B49" s="3" t="s">
        <v>12</v>
      </c>
      <c r="C49" s="3" t="s">
        <v>57</v>
      </c>
      <c r="D49" s="3">
        <v>84</v>
      </c>
      <c r="E49" s="3">
        <v>61</v>
      </c>
      <c r="F49" s="3">
        <v>23</v>
      </c>
      <c r="G49" s="3" t="str">
        <f t="shared" si="0"/>
        <v>2025-01</v>
      </c>
      <c r="H49" s="26">
        <f t="shared" si="1"/>
        <v>0.72619047619047616</v>
      </c>
    </row>
    <row r="50" spans="1:8" ht="17.399999999999999">
      <c r="A50" s="25">
        <v>45670</v>
      </c>
      <c r="B50" s="3" t="s">
        <v>6</v>
      </c>
      <c r="C50" s="3" t="s">
        <v>58</v>
      </c>
      <c r="D50" s="3">
        <v>84</v>
      </c>
      <c r="E50" s="3">
        <v>77</v>
      </c>
      <c r="F50" s="3">
        <v>7</v>
      </c>
      <c r="G50" s="3" t="str">
        <f t="shared" si="0"/>
        <v>2025-01</v>
      </c>
      <c r="H50" s="26">
        <f t="shared" si="1"/>
        <v>0.91666666666666663</v>
      </c>
    </row>
    <row r="51" spans="1:8" ht="17.399999999999999">
      <c r="A51" s="25">
        <v>45670</v>
      </c>
      <c r="B51" s="3" t="s">
        <v>8</v>
      </c>
      <c r="C51" s="3" t="s">
        <v>59</v>
      </c>
      <c r="D51" s="3">
        <v>39</v>
      </c>
      <c r="E51" s="3">
        <v>32</v>
      </c>
      <c r="F51" s="3">
        <v>7</v>
      </c>
      <c r="G51" s="3" t="str">
        <f t="shared" si="0"/>
        <v>2025-01</v>
      </c>
      <c r="H51" s="26">
        <f t="shared" si="1"/>
        <v>0.82051282051282048</v>
      </c>
    </row>
    <row r="52" spans="1:8" ht="17.399999999999999">
      <c r="A52" s="25">
        <v>45670</v>
      </c>
      <c r="B52" s="3" t="s">
        <v>10</v>
      </c>
      <c r="C52" s="3" t="s">
        <v>60</v>
      </c>
      <c r="D52" s="3">
        <v>89</v>
      </c>
      <c r="E52" s="3">
        <v>86</v>
      </c>
      <c r="F52" s="3">
        <v>3</v>
      </c>
      <c r="G52" s="3" t="str">
        <f t="shared" si="0"/>
        <v>2025-01</v>
      </c>
      <c r="H52" s="26">
        <f t="shared" si="1"/>
        <v>0.9662921348314607</v>
      </c>
    </row>
    <row r="53" spans="1:8" ht="17.399999999999999">
      <c r="A53" s="25">
        <v>45670</v>
      </c>
      <c r="B53" s="3" t="s">
        <v>12</v>
      </c>
      <c r="C53" s="3" t="s">
        <v>61</v>
      </c>
      <c r="D53" s="3">
        <v>20</v>
      </c>
      <c r="E53" s="3">
        <v>18</v>
      </c>
      <c r="F53" s="3">
        <v>2</v>
      </c>
      <c r="G53" s="3" t="str">
        <f t="shared" si="0"/>
        <v>2025-01</v>
      </c>
      <c r="H53" s="26">
        <f t="shared" si="1"/>
        <v>0.9</v>
      </c>
    </row>
    <row r="54" spans="1:8" ht="17.399999999999999">
      <c r="A54" s="25">
        <v>45671</v>
      </c>
      <c r="B54" s="3" t="s">
        <v>6</v>
      </c>
      <c r="C54" s="3" t="s">
        <v>62</v>
      </c>
      <c r="D54" s="3">
        <v>82</v>
      </c>
      <c r="E54" s="3">
        <v>57</v>
      </c>
      <c r="F54" s="3">
        <v>25</v>
      </c>
      <c r="G54" s="3" t="str">
        <f t="shared" si="0"/>
        <v>2025-01</v>
      </c>
      <c r="H54" s="26">
        <f t="shared" si="1"/>
        <v>0.69512195121951215</v>
      </c>
    </row>
    <row r="55" spans="1:8" ht="17.399999999999999">
      <c r="A55" s="25">
        <v>45671</v>
      </c>
      <c r="B55" s="3" t="s">
        <v>8</v>
      </c>
      <c r="C55" s="3" t="s">
        <v>63</v>
      </c>
      <c r="D55" s="3">
        <v>66</v>
      </c>
      <c r="E55" s="3">
        <v>55</v>
      </c>
      <c r="F55" s="3">
        <v>11</v>
      </c>
      <c r="G55" s="3" t="str">
        <f t="shared" si="0"/>
        <v>2025-01</v>
      </c>
      <c r="H55" s="26">
        <f t="shared" si="1"/>
        <v>0.83333333333333337</v>
      </c>
    </row>
    <row r="56" spans="1:8" ht="17.399999999999999">
      <c r="A56" s="25">
        <v>45671</v>
      </c>
      <c r="B56" s="3" t="s">
        <v>10</v>
      </c>
      <c r="C56" s="3" t="s">
        <v>64</v>
      </c>
      <c r="D56" s="3">
        <v>27</v>
      </c>
      <c r="E56" s="3">
        <v>21</v>
      </c>
      <c r="F56" s="3">
        <v>6</v>
      </c>
      <c r="G56" s="3" t="str">
        <f t="shared" si="0"/>
        <v>2025-01</v>
      </c>
      <c r="H56" s="26">
        <f t="shared" si="1"/>
        <v>0.77777777777777779</v>
      </c>
    </row>
    <row r="57" spans="1:8" ht="17.399999999999999">
      <c r="A57" s="25">
        <v>45671</v>
      </c>
      <c r="B57" s="3" t="s">
        <v>12</v>
      </c>
      <c r="C57" s="3" t="s">
        <v>65</v>
      </c>
      <c r="D57" s="3">
        <v>30</v>
      </c>
      <c r="E57" s="3">
        <v>28</v>
      </c>
      <c r="F57" s="3">
        <v>2</v>
      </c>
      <c r="G57" s="3" t="str">
        <f t="shared" si="0"/>
        <v>2025-01</v>
      </c>
      <c r="H57" s="26">
        <f t="shared" si="1"/>
        <v>0.93333333333333335</v>
      </c>
    </row>
    <row r="58" spans="1:8" ht="17.399999999999999">
      <c r="A58" s="25">
        <v>45672</v>
      </c>
      <c r="B58" s="3" t="s">
        <v>6</v>
      </c>
      <c r="C58" s="3" t="s">
        <v>66</v>
      </c>
      <c r="D58" s="3">
        <v>88</v>
      </c>
      <c r="E58" s="3">
        <v>85</v>
      </c>
      <c r="F58" s="3">
        <v>3</v>
      </c>
      <c r="G58" s="3" t="str">
        <f t="shared" si="0"/>
        <v>2025-01</v>
      </c>
      <c r="H58" s="26">
        <f t="shared" si="1"/>
        <v>0.96590909090909094</v>
      </c>
    </row>
    <row r="59" spans="1:8" ht="17.399999999999999">
      <c r="A59" s="25">
        <v>45672</v>
      </c>
      <c r="B59" s="3" t="s">
        <v>8</v>
      </c>
      <c r="C59" s="3" t="s">
        <v>67</v>
      </c>
      <c r="D59" s="3">
        <v>36</v>
      </c>
      <c r="E59" s="3">
        <v>35</v>
      </c>
      <c r="F59" s="3">
        <v>1</v>
      </c>
      <c r="G59" s="3" t="str">
        <f t="shared" si="0"/>
        <v>2025-01</v>
      </c>
      <c r="H59" s="26">
        <f t="shared" si="1"/>
        <v>0.97222222222222221</v>
      </c>
    </row>
    <row r="60" spans="1:8" ht="17.399999999999999">
      <c r="A60" s="25">
        <v>45672</v>
      </c>
      <c r="B60" s="3" t="s">
        <v>10</v>
      </c>
      <c r="C60" s="3" t="s">
        <v>68</v>
      </c>
      <c r="D60" s="3">
        <v>90</v>
      </c>
      <c r="E60" s="3">
        <v>67</v>
      </c>
      <c r="F60" s="3">
        <v>23</v>
      </c>
      <c r="G60" s="3" t="str">
        <f t="shared" si="0"/>
        <v>2025-01</v>
      </c>
      <c r="H60" s="26">
        <f t="shared" si="1"/>
        <v>0.74444444444444446</v>
      </c>
    </row>
    <row r="61" spans="1:8" ht="17.399999999999999">
      <c r="A61" s="25">
        <v>45672</v>
      </c>
      <c r="B61" s="3" t="s">
        <v>12</v>
      </c>
      <c r="C61" s="3" t="s">
        <v>69</v>
      </c>
      <c r="D61" s="3">
        <v>87</v>
      </c>
      <c r="E61" s="3">
        <v>87</v>
      </c>
      <c r="F61" s="3">
        <v>0</v>
      </c>
      <c r="G61" s="3" t="str">
        <f t="shared" si="0"/>
        <v>2025-01</v>
      </c>
      <c r="H61" s="26">
        <f t="shared" si="1"/>
        <v>1</v>
      </c>
    </row>
    <row r="62" spans="1:8" ht="17.399999999999999">
      <c r="A62" s="25">
        <v>45673</v>
      </c>
      <c r="B62" s="3" t="s">
        <v>6</v>
      </c>
      <c r="C62" s="3" t="s">
        <v>70</v>
      </c>
      <c r="D62" s="3">
        <v>47</v>
      </c>
      <c r="E62" s="3">
        <v>38</v>
      </c>
      <c r="F62" s="3">
        <v>9</v>
      </c>
      <c r="G62" s="3" t="str">
        <f t="shared" si="0"/>
        <v>2025-01</v>
      </c>
      <c r="H62" s="26">
        <f t="shared" si="1"/>
        <v>0.80851063829787229</v>
      </c>
    </row>
    <row r="63" spans="1:8" ht="17.399999999999999">
      <c r="A63" s="25">
        <v>45673</v>
      </c>
      <c r="B63" s="3" t="s">
        <v>8</v>
      </c>
      <c r="C63" s="3" t="s">
        <v>71</v>
      </c>
      <c r="D63" s="3">
        <v>71</v>
      </c>
      <c r="E63" s="3">
        <v>70</v>
      </c>
      <c r="F63" s="3">
        <v>1</v>
      </c>
      <c r="G63" s="3" t="str">
        <f t="shared" si="0"/>
        <v>2025-01</v>
      </c>
      <c r="H63" s="26">
        <f t="shared" si="1"/>
        <v>0.9859154929577465</v>
      </c>
    </row>
    <row r="64" spans="1:8" ht="17.399999999999999">
      <c r="A64" s="25">
        <v>45673</v>
      </c>
      <c r="B64" s="3" t="s">
        <v>10</v>
      </c>
      <c r="C64" s="3" t="s">
        <v>72</v>
      </c>
      <c r="D64" s="3">
        <v>76</v>
      </c>
      <c r="E64" s="3">
        <v>69</v>
      </c>
      <c r="F64" s="3">
        <v>7</v>
      </c>
      <c r="G64" s="3" t="str">
        <f t="shared" si="0"/>
        <v>2025-01</v>
      </c>
      <c r="H64" s="26">
        <f t="shared" si="1"/>
        <v>0.90789473684210531</v>
      </c>
    </row>
    <row r="65" spans="1:8" ht="17.399999999999999">
      <c r="A65" s="25">
        <v>45673</v>
      </c>
      <c r="B65" s="3" t="s">
        <v>12</v>
      </c>
      <c r="C65" s="3" t="s">
        <v>73</v>
      </c>
      <c r="D65" s="3">
        <v>35</v>
      </c>
      <c r="E65" s="3">
        <v>27</v>
      </c>
      <c r="F65" s="3">
        <v>8</v>
      </c>
      <c r="G65" s="3" t="str">
        <f t="shared" si="0"/>
        <v>2025-01</v>
      </c>
      <c r="H65" s="26">
        <f t="shared" si="1"/>
        <v>0.77142857142857146</v>
      </c>
    </row>
    <row r="66" spans="1:8" ht="17.399999999999999">
      <c r="A66" s="25">
        <v>45674</v>
      </c>
      <c r="B66" s="3" t="s">
        <v>6</v>
      </c>
      <c r="C66" s="3" t="s">
        <v>74</v>
      </c>
      <c r="D66" s="3">
        <v>28</v>
      </c>
      <c r="E66" s="3">
        <v>24</v>
      </c>
      <c r="F66" s="3">
        <v>4</v>
      </c>
      <c r="G66" s="3" t="str">
        <f t="shared" si="0"/>
        <v>2025-01</v>
      </c>
      <c r="H66" s="26">
        <f t="shared" si="1"/>
        <v>0.8571428571428571</v>
      </c>
    </row>
    <row r="67" spans="1:8" ht="17.399999999999999">
      <c r="A67" s="25">
        <v>45674</v>
      </c>
      <c r="B67" s="3" t="s">
        <v>8</v>
      </c>
      <c r="C67" s="3" t="s">
        <v>75</v>
      </c>
      <c r="D67" s="3">
        <v>95</v>
      </c>
      <c r="E67" s="3">
        <v>83</v>
      </c>
      <c r="F67" s="3">
        <v>12</v>
      </c>
      <c r="G67" s="3" t="str">
        <f t="shared" ref="G67:G130" si="2">TEXT(A67,"yyyy-mm")</f>
        <v>2025-01</v>
      </c>
      <c r="H67" s="26">
        <f t="shared" ref="H67:H130" si="3">E67/D67</f>
        <v>0.87368421052631584</v>
      </c>
    </row>
    <row r="68" spans="1:8" ht="17.399999999999999">
      <c r="A68" s="25">
        <v>45674</v>
      </c>
      <c r="B68" s="3" t="s">
        <v>10</v>
      </c>
      <c r="C68" s="3" t="s">
        <v>76</v>
      </c>
      <c r="D68" s="3">
        <v>95</v>
      </c>
      <c r="E68" s="3">
        <v>73</v>
      </c>
      <c r="F68" s="3">
        <v>22</v>
      </c>
      <c r="G68" s="3" t="str">
        <f t="shared" si="2"/>
        <v>2025-01</v>
      </c>
      <c r="H68" s="26">
        <f t="shared" si="3"/>
        <v>0.76842105263157889</v>
      </c>
    </row>
    <row r="69" spans="1:8" ht="17.399999999999999">
      <c r="A69" s="25">
        <v>45674</v>
      </c>
      <c r="B69" s="3" t="s">
        <v>12</v>
      </c>
      <c r="C69" s="3" t="s">
        <v>77</v>
      </c>
      <c r="D69" s="3">
        <v>29</v>
      </c>
      <c r="E69" s="3">
        <v>20</v>
      </c>
      <c r="F69" s="3">
        <v>9</v>
      </c>
      <c r="G69" s="3" t="str">
        <f t="shared" si="2"/>
        <v>2025-01</v>
      </c>
      <c r="H69" s="26">
        <f t="shared" si="3"/>
        <v>0.68965517241379315</v>
      </c>
    </row>
    <row r="70" spans="1:8" ht="17.399999999999999">
      <c r="A70" s="25">
        <v>45675</v>
      </c>
      <c r="B70" s="3" t="s">
        <v>6</v>
      </c>
      <c r="C70" s="3" t="s">
        <v>78</v>
      </c>
      <c r="D70" s="3">
        <v>28</v>
      </c>
      <c r="E70" s="3">
        <v>19</v>
      </c>
      <c r="F70" s="3">
        <v>9</v>
      </c>
      <c r="G70" s="3" t="str">
        <f t="shared" si="2"/>
        <v>2025-01</v>
      </c>
      <c r="H70" s="26">
        <f t="shared" si="3"/>
        <v>0.6785714285714286</v>
      </c>
    </row>
    <row r="71" spans="1:8" ht="17.399999999999999">
      <c r="A71" s="25">
        <v>45675</v>
      </c>
      <c r="B71" s="3" t="s">
        <v>8</v>
      </c>
      <c r="C71" s="3" t="s">
        <v>79</v>
      </c>
      <c r="D71" s="3">
        <v>29</v>
      </c>
      <c r="E71" s="3">
        <v>28</v>
      </c>
      <c r="F71" s="3">
        <v>1</v>
      </c>
      <c r="G71" s="3" t="str">
        <f t="shared" si="2"/>
        <v>2025-01</v>
      </c>
      <c r="H71" s="26">
        <f t="shared" si="3"/>
        <v>0.96551724137931039</v>
      </c>
    </row>
    <row r="72" spans="1:8" ht="17.399999999999999">
      <c r="A72" s="25">
        <v>45675</v>
      </c>
      <c r="B72" s="3" t="s">
        <v>10</v>
      </c>
      <c r="C72" s="3" t="s">
        <v>80</v>
      </c>
      <c r="D72" s="3">
        <v>55</v>
      </c>
      <c r="E72" s="3">
        <v>53</v>
      </c>
      <c r="F72" s="3">
        <v>2</v>
      </c>
      <c r="G72" s="3" t="str">
        <f t="shared" si="2"/>
        <v>2025-01</v>
      </c>
      <c r="H72" s="26">
        <f t="shared" si="3"/>
        <v>0.96363636363636362</v>
      </c>
    </row>
    <row r="73" spans="1:8" ht="17.399999999999999">
      <c r="A73" s="25">
        <v>45675</v>
      </c>
      <c r="B73" s="3" t="s">
        <v>12</v>
      </c>
      <c r="C73" s="3" t="s">
        <v>81</v>
      </c>
      <c r="D73" s="3">
        <v>89</v>
      </c>
      <c r="E73" s="3">
        <v>66</v>
      </c>
      <c r="F73" s="3">
        <v>23</v>
      </c>
      <c r="G73" s="3" t="str">
        <f t="shared" si="2"/>
        <v>2025-01</v>
      </c>
      <c r="H73" s="26">
        <f t="shared" si="3"/>
        <v>0.7415730337078652</v>
      </c>
    </row>
    <row r="74" spans="1:8" ht="17.399999999999999">
      <c r="A74" s="25">
        <v>45676</v>
      </c>
      <c r="B74" s="3" t="s">
        <v>6</v>
      </c>
      <c r="C74" s="3" t="s">
        <v>82</v>
      </c>
      <c r="D74" s="3">
        <v>51</v>
      </c>
      <c r="E74" s="3">
        <v>50</v>
      </c>
      <c r="F74" s="3">
        <v>1</v>
      </c>
      <c r="G74" s="3" t="str">
        <f t="shared" si="2"/>
        <v>2025-01</v>
      </c>
      <c r="H74" s="26">
        <f t="shared" si="3"/>
        <v>0.98039215686274506</v>
      </c>
    </row>
    <row r="75" spans="1:8" ht="17.399999999999999">
      <c r="A75" s="25">
        <v>45676</v>
      </c>
      <c r="B75" s="3" t="s">
        <v>8</v>
      </c>
      <c r="C75" s="3" t="s">
        <v>83</v>
      </c>
      <c r="D75" s="3">
        <v>44</v>
      </c>
      <c r="E75" s="3">
        <v>31</v>
      </c>
      <c r="F75" s="3">
        <v>13</v>
      </c>
      <c r="G75" s="3" t="str">
        <f t="shared" si="2"/>
        <v>2025-01</v>
      </c>
      <c r="H75" s="26">
        <f t="shared" si="3"/>
        <v>0.70454545454545459</v>
      </c>
    </row>
    <row r="76" spans="1:8" ht="17.399999999999999">
      <c r="A76" s="25">
        <v>45676</v>
      </c>
      <c r="B76" s="3" t="s">
        <v>10</v>
      </c>
      <c r="C76" s="3" t="s">
        <v>84</v>
      </c>
      <c r="D76" s="3">
        <v>75</v>
      </c>
      <c r="E76" s="3">
        <v>63</v>
      </c>
      <c r="F76" s="3">
        <v>12</v>
      </c>
      <c r="G76" s="3" t="str">
        <f t="shared" si="2"/>
        <v>2025-01</v>
      </c>
      <c r="H76" s="26">
        <f t="shared" si="3"/>
        <v>0.84</v>
      </c>
    </row>
    <row r="77" spans="1:8" ht="17.399999999999999">
      <c r="A77" s="25">
        <v>45676</v>
      </c>
      <c r="B77" s="3" t="s">
        <v>12</v>
      </c>
      <c r="C77" s="3" t="s">
        <v>85</v>
      </c>
      <c r="D77" s="3">
        <v>72</v>
      </c>
      <c r="E77" s="3">
        <v>64</v>
      </c>
      <c r="F77" s="3">
        <v>8</v>
      </c>
      <c r="G77" s="3" t="str">
        <f t="shared" si="2"/>
        <v>2025-01</v>
      </c>
      <c r="H77" s="26">
        <f t="shared" si="3"/>
        <v>0.88888888888888884</v>
      </c>
    </row>
    <row r="78" spans="1:8" ht="17.399999999999999">
      <c r="A78" s="25">
        <v>45677</v>
      </c>
      <c r="B78" s="3" t="s">
        <v>6</v>
      </c>
      <c r="C78" s="3" t="s">
        <v>86</v>
      </c>
      <c r="D78" s="3">
        <v>32</v>
      </c>
      <c r="E78" s="3">
        <v>22</v>
      </c>
      <c r="F78" s="3">
        <v>10</v>
      </c>
      <c r="G78" s="3" t="str">
        <f t="shared" si="2"/>
        <v>2025-01</v>
      </c>
      <c r="H78" s="26">
        <f t="shared" si="3"/>
        <v>0.6875</v>
      </c>
    </row>
    <row r="79" spans="1:8" ht="17.399999999999999">
      <c r="A79" s="25">
        <v>45677</v>
      </c>
      <c r="B79" s="3" t="s">
        <v>8</v>
      </c>
      <c r="C79" s="3" t="s">
        <v>87</v>
      </c>
      <c r="D79" s="3">
        <v>63</v>
      </c>
      <c r="E79" s="3">
        <v>47</v>
      </c>
      <c r="F79" s="3">
        <v>16</v>
      </c>
      <c r="G79" s="3" t="str">
        <f t="shared" si="2"/>
        <v>2025-01</v>
      </c>
      <c r="H79" s="26">
        <f t="shared" si="3"/>
        <v>0.74603174603174605</v>
      </c>
    </row>
    <row r="80" spans="1:8" ht="17.399999999999999">
      <c r="A80" s="25">
        <v>45677</v>
      </c>
      <c r="B80" s="3" t="s">
        <v>10</v>
      </c>
      <c r="C80" s="3" t="s">
        <v>88</v>
      </c>
      <c r="D80" s="3">
        <v>44</v>
      </c>
      <c r="E80" s="3">
        <v>33</v>
      </c>
      <c r="F80" s="3">
        <v>11</v>
      </c>
      <c r="G80" s="3" t="str">
        <f t="shared" si="2"/>
        <v>2025-01</v>
      </c>
      <c r="H80" s="26">
        <f t="shared" si="3"/>
        <v>0.75</v>
      </c>
    </row>
    <row r="81" spans="1:8" ht="17.399999999999999">
      <c r="A81" s="25">
        <v>45677</v>
      </c>
      <c r="B81" s="3" t="s">
        <v>12</v>
      </c>
      <c r="C81" s="3" t="s">
        <v>89</v>
      </c>
      <c r="D81" s="3">
        <v>77</v>
      </c>
      <c r="E81" s="3">
        <v>57</v>
      </c>
      <c r="F81" s="3">
        <v>20</v>
      </c>
      <c r="G81" s="3" t="str">
        <f t="shared" si="2"/>
        <v>2025-01</v>
      </c>
      <c r="H81" s="26">
        <f t="shared" si="3"/>
        <v>0.74025974025974028</v>
      </c>
    </row>
    <row r="82" spans="1:8" ht="17.399999999999999">
      <c r="A82" s="25">
        <v>45678</v>
      </c>
      <c r="B82" s="3" t="s">
        <v>6</v>
      </c>
      <c r="C82" s="3" t="s">
        <v>90</v>
      </c>
      <c r="D82" s="3">
        <v>43</v>
      </c>
      <c r="E82" s="3">
        <v>34</v>
      </c>
      <c r="F82" s="3">
        <v>9</v>
      </c>
      <c r="G82" s="3" t="str">
        <f t="shared" si="2"/>
        <v>2025-01</v>
      </c>
      <c r="H82" s="26">
        <f t="shared" si="3"/>
        <v>0.79069767441860461</v>
      </c>
    </row>
    <row r="83" spans="1:8" ht="17.399999999999999">
      <c r="A83" s="25">
        <v>45678</v>
      </c>
      <c r="B83" s="3" t="s">
        <v>8</v>
      </c>
      <c r="C83" s="3" t="s">
        <v>91</v>
      </c>
      <c r="D83" s="3">
        <v>51</v>
      </c>
      <c r="E83" s="3">
        <v>37</v>
      </c>
      <c r="F83" s="3">
        <v>14</v>
      </c>
      <c r="G83" s="3" t="str">
        <f t="shared" si="2"/>
        <v>2025-01</v>
      </c>
      <c r="H83" s="26">
        <f t="shared" si="3"/>
        <v>0.72549019607843135</v>
      </c>
    </row>
    <row r="84" spans="1:8" ht="17.399999999999999">
      <c r="A84" s="25">
        <v>45678</v>
      </c>
      <c r="B84" s="3" t="s">
        <v>10</v>
      </c>
      <c r="C84" s="3" t="s">
        <v>92</v>
      </c>
      <c r="D84" s="3">
        <v>90</v>
      </c>
      <c r="E84" s="3">
        <v>65</v>
      </c>
      <c r="F84" s="3">
        <v>25</v>
      </c>
      <c r="G84" s="3" t="str">
        <f t="shared" si="2"/>
        <v>2025-01</v>
      </c>
      <c r="H84" s="26">
        <f t="shared" si="3"/>
        <v>0.72222222222222221</v>
      </c>
    </row>
    <row r="85" spans="1:8" ht="17.399999999999999">
      <c r="A85" s="25">
        <v>45678</v>
      </c>
      <c r="B85" s="3" t="s">
        <v>12</v>
      </c>
      <c r="C85" s="3" t="s">
        <v>93</v>
      </c>
      <c r="D85" s="3">
        <v>89</v>
      </c>
      <c r="E85" s="3">
        <v>88</v>
      </c>
      <c r="F85" s="3">
        <v>1</v>
      </c>
      <c r="G85" s="3" t="str">
        <f t="shared" si="2"/>
        <v>2025-01</v>
      </c>
      <c r="H85" s="26">
        <f t="shared" si="3"/>
        <v>0.9887640449438202</v>
      </c>
    </row>
    <row r="86" spans="1:8" ht="17.399999999999999">
      <c r="A86" s="25">
        <v>45679</v>
      </c>
      <c r="B86" s="3" t="s">
        <v>6</v>
      </c>
      <c r="C86" s="3" t="s">
        <v>94</v>
      </c>
      <c r="D86" s="3">
        <v>31</v>
      </c>
      <c r="E86" s="3">
        <v>24</v>
      </c>
      <c r="F86" s="3">
        <v>7</v>
      </c>
      <c r="G86" s="3" t="str">
        <f t="shared" si="2"/>
        <v>2025-01</v>
      </c>
      <c r="H86" s="26">
        <f t="shared" si="3"/>
        <v>0.77419354838709675</v>
      </c>
    </row>
    <row r="87" spans="1:8" ht="17.399999999999999">
      <c r="A87" s="25">
        <v>45679</v>
      </c>
      <c r="B87" s="3" t="s">
        <v>8</v>
      </c>
      <c r="C87" s="3" t="s">
        <v>95</v>
      </c>
      <c r="D87" s="3">
        <v>72</v>
      </c>
      <c r="E87" s="3">
        <v>65</v>
      </c>
      <c r="F87" s="3">
        <v>7</v>
      </c>
      <c r="G87" s="3" t="str">
        <f t="shared" si="2"/>
        <v>2025-01</v>
      </c>
      <c r="H87" s="26">
        <f t="shared" si="3"/>
        <v>0.90277777777777779</v>
      </c>
    </row>
    <row r="88" spans="1:8" ht="17.399999999999999">
      <c r="A88" s="25">
        <v>45679</v>
      </c>
      <c r="B88" s="3" t="s">
        <v>10</v>
      </c>
      <c r="C88" s="3" t="s">
        <v>96</v>
      </c>
      <c r="D88" s="3">
        <v>47</v>
      </c>
      <c r="E88" s="3">
        <v>44</v>
      </c>
      <c r="F88" s="3">
        <v>3</v>
      </c>
      <c r="G88" s="3" t="str">
        <f t="shared" si="2"/>
        <v>2025-01</v>
      </c>
      <c r="H88" s="26">
        <f t="shared" si="3"/>
        <v>0.93617021276595747</v>
      </c>
    </row>
    <row r="89" spans="1:8" ht="17.399999999999999">
      <c r="A89" s="25">
        <v>45679</v>
      </c>
      <c r="B89" s="3" t="s">
        <v>12</v>
      </c>
      <c r="C89" s="3" t="s">
        <v>97</v>
      </c>
      <c r="D89" s="3">
        <v>41</v>
      </c>
      <c r="E89" s="3">
        <v>34</v>
      </c>
      <c r="F89" s="3">
        <v>7</v>
      </c>
      <c r="G89" s="3" t="str">
        <f t="shared" si="2"/>
        <v>2025-01</v>
      </c>
      <c r="H89" s="26">
        <f t="shared" si="3"/>
        <v>0.82926829268292679</v>
      </c>
    </row>
    <row r="90" spans="1:8" ht="17.399999999999999">
      <c r="A90" s="25">
        <v>45680</v>
      </c>
      <c r="B90" s="3" t="s">
        <v>6</v>
      </c>
      <c r="C90" s="3" t="s">
        <v>98</v>
      </c>
      <c r="D90" s="3">
        <v>69</v>
      </c>
      <c r="E90" s="3">
        <v>56</v>
      </c>
      <c r="F90" s="3">
        <v>13</v>
      </c>
      <c r="G90" s="3" t="str">
        <f t="shared" si="2"/>
        <v>2025-01</v>
      </c>
      <c r="H90" s="26">
        <f t="shared" si="3"/>
        <v>0.81159420289855078</v>
      </c>
    </row>
    <row r="91" spans="1:8" ht="17.399999999999999">
      <c r="A91" s="25">
        <v>45680</v>
      </c>
      <c r="B91" s="3" t="s">
        <v>8</v>
      </c>
      <c r="C91" s="3" t="s">
        <v>99</v>
      </c>
      <c r="D91" s="3">
        <v>56</v>
      </c>
      <c r="E91" s="3">
        <v>52</v>
      </c>
      <c r="F91" s="3">
        <v>4</v>
      </c>
      <c r="G91" s="3" t="str">
        <f t="shared" si="2"/>
        <v>2025-01</v>
      </c>
      <c r="H91" s="26">
        <f t="shared" si="3"/>
        <v>0.9285714285714286</v>
      </c>
    </row>
    <row r="92" spans="1:8" ht="17.399999999999999">
      <c r="A92" s="25">
        <v>45680</v>
      </c>
      <c r="B92" s="3" t="s">
        <v>10</v>
      </c>
      <c r="C92" s="3" t="s">
        <v>100</v>
      </c>
      <c r="D92" s="3">
        <v>39</v>
      </c>
      <c r="E92" s="3">
        <v>30</v>
      </c>
      <c r="F92" s="3">
        <v>9</v>
      </c>
      <c r="G92" s="3" t="str">
        <f t="shared" si="2"/>
        <v>2025-01</v>
      </c>
      <c r="H92" s="26">
        <f t="shared" si="3"/>
        <v>0.76923076923076927</v>
      </c>
    </row>
    <row r="93" spans="1:8" ht="17.399999999999999">
      <c r="A93" s="25">
        <v>45680</v>
      </c>
      <c r="B93" s="3" t="s">
        <v>12</v>
      </c>
      <c r="C93" s="3" t="s">
        <v>101</v>
      </c>
      <c r="D93" s="3">
        <v>47</v>
      </c>
      <c r="E93" s="3">
        <v>33</v>
      </c>
      <c r="F93" s="3">
        <v>14</v>
      </c>
      <c r="G93" s="3" t="str">
        <f t="shared" si="2"/>
        <v>2025-01</v>
      </c>
      <c r="H93" s="26">
        <f t="shared" si="3"/>
        <v>0.7021276595744681</v>
      </c>
    </row>
    <row r="94" spans="1:8" ht="17.399999999999999">
      <c r="A94" s="25">
        <v>45681</v>
      </c>
      <c r="B94" s="3" t="s">
        <v>6</v>
      </c>
      <c r="C94" s="3" t="s">
        <v>102</v>
      </c>
      <c r="D94" s="3">
        <v>27</v>
      </c>
      <c r="E94" s="3">
        <v>23</v>
      </c>
      <c r="F94" s="3">
        <v>4</v>
      </c>
      <c r="G94" s="3" t="str">
        <f t="shared" si="2"/>
        <v>2025-01</v>
      </c>
      <c r="H94" s="26">
        <f t="shared" si="3"/>
        <v>0.85185185185185186</v>
      </c>
    </row>
    <row r="95" spans="1:8" ht="17.399999999999999">
      <c r="A95" s="25">
        <v>45681</v>
      </c>
      <c r="B95" s="3" t="s">
        <v>8</v>
      </c>
      <c r="C95" s="3" t="s">
        <v>103</v>
      </c>
      <c r="D95" s="3">
        <v>26</v>
      </c>
      <c r="E95" s="3">
        <v>25</v>
      </c>
      <c r="F95" s="3">
        <v>1</v>
      </c>
      <c r="G95" s="3" t="str">
        <f t="shared" si="2"/>
        <v>2025-01</v>
      </c>
      <c r="H95" s="26">
        <f t="shared" si="3"/>
        <v>0.96153846153846156</v>
      </c>
    </row>
    <row r="96" spans="1:8" ht="17.399999999999999">
      <c r="A96" s="25">
        <v>45681</v>
      </c>
      <c r="B96" s="3" t="s">
        <v>10</v>
      </c>
      <c r="C96" s="3" t="s">
        <v>104</v>
      </c>
      <c r="D96" s="3">
        <v>87</v>
      </c>
      <c r="E96" s="3">
        <v>65</v>
      </c>
      <c r="F96" s="3">
        <v>22</v>
      </c>
      <c r="G96" s="3" t="str">
        <f t="shared" si="2"/>
        <v>2025-01</v>
      </c>
      <c r="H96" s="26">
        <f t="shared" si="3"/>
        <v>0.74712643678160917</v>
      </c>
    </row>
    <row r="97" spans="1:8" ht="17.399999999999999">
      <c r="A97" s="25">
        <v>45681</v>
      </c>
      <c r="B97" s="3" t="s">
        <v>12</v>
      </c>
      <c r="C97" s="3" t="s">
        <v>105</v>
      </c>
      <c r="D97" s="3">
        <v>85</v>
      </c>
      <c r="E97" s="3">
        <v>61</v>
      </c>
      <c r="F97" s="3">
        <v>24</v>
      </c>
      <c r="G97" s="3" t="str">
        <f t="shared" si="2"/>
        <v>2025-01</v>
      </c>
      <c r="H97" s="26">
        <f t="shared" si="3"/>
        <v>0.71764705882352942</v>
      </c>
    </row>
    <row r="98" spans="1:8" ht="17.399999999999999">
      <c r="A98" s="25">
        <v>45682</v>
      </c>
      <c r="B98" s="3" t="s">
        <v>6</v>
      </c>
      <c r="C98" s="3" t="s">
        <v>106</v>
      </c>
      <c r="D98" s="3">
        <v>28</v>
      </c>
      <c r="E98" s="3">
        <v>28</v>
      </c>
      <c r="F98" s="3">
        <v>0</v>
      </c>
      <c r="G98" s="3" t="str">
        <f t="shared" si="2"/>
        <v>2025-01</v>
      </c>
      <c r="H98" s="26">
        <f t="shared" si="3"/>
        <v>1</v>
      </c>
    </row>
    <row r="99" spans="1:8" ht="17.399999999999999">
      <c r="A99" s="25">
        <v>45682</v>
      </c>
      <c r="B99" s="3" t="s">
        <v>8</v>
      </c>
      <c r="C99" s="3" t="s">
        <v>107</v>
      </c>
      <c r="D99" s="3">
        <v>50</v>
      </c>
      <c r="E99" s="3">
        <v>47</v>
      </c>
      <c r="F99" s="3">
        <v>3</v>
      </c>
      <c r="G99" s="3" t="str">
        <f t="shared" si="2"/>
        <v>2025-01</v>
      </c>
      <c r="H99" s="26">
        <f t="shared" si="3"/>
        <v>0.94</v>
      </c>
    </row>
    <row r="100" spans="1:8" ht="17.399999999999999">
      <c r="A100" s="25">
        <v>45682</v>
      </c>
      <c r="B100" s="3" t="s">
        <v>10</v>
      </c>
      <c r="C100" s="3" t="s">
        <v>108</v>
      </c>
      <c r="D100" s="3">
        <v>92</v>
      </c>
      <c r="E100" s="3">
        <v>71</v>
      </c>
      <c r="F100" s="3">
        <v>21</v>
      </c>
      <c r="G100" s="3" t="str">
        <f t="shared" si="2"/>
        <v>2025-01</v>
      </c>
      <c r="H100" s="26">
        <f t="shared" si="3"/>
        <v>0.77173913043478259</v>
      </c>
    </row>
    <row r="101" spans="1:8" ht="17.399999999999999">
      <c r="A101" s="25">
        <v>45682</v>
      </c>
      <c r="B101" s="3" t="s">
        <v>12</v>
      </c>
      <c r="C101" s="3" t="s">
        <v>109</v>
      </c>
      <c r="D101" s="3">
        <v>99</v>
      </c>
      <c r="E101" s="3">
        <v>71</v>
      </c>
      <c r="F101" s="3">
        <v>28</v>
      </c>
      <c r="G101" s="3" t="str">
        <f t="shared" si="2"/>
        <v>2025-01</v>
      </c>
      <c r="H101" s="26">
        <f t="shared" si="3"/>
        <v>0.71717171717171713</v>
      </c>
    </row>
    <row r="102" spans="1:8" ht="17.399999999999999">
      <c r="A102" s="25">
        <v>45683</v>
      </c>
      <c r="B102" s="3" t="s">
        <v>6</v>
      </c>
      <c r="C102" s="3" t="s">
        <v>110</v>
      </c>
      <c r="D102" s="3">
        <v>94</v>
      </c>
      <c r="E102" s="3">
        <v>83</v>
      </c>
      <c r="F102" s="3">
        <v>11</v>
      </c>
      <c r="G102" s="3" t="str">
        <f t="shared" si="2"/>
        <v>2025-01</v>
      </c>
      <c r="H102" s="26">
        <f t="shared" si="3"/>
        <v>0.88297872340425532</v>
      </c>
    </row>
    <row r="103" spans="1:8" ht="17.399999999999999">
      <c r="A103" s="25">
        <v>45683</v>
      </c>
      <c r="B103" s="3" t="s">
        <v>8</v>
      </c>
      <c r="C103" s="3" t="s">
        <v>111</v>
      </c>
      <c r="D103" s="3">
        <v>60</v>
      </c>
      <c r="E103" s="3">
        <v>50</v>
      </c>
      <c r="F103" s="3">
        <v>10</v>
      </c>
      <c r="G103" s="3" t="str">
        <f t="shared" si="2"/>
        <v>2025-01</v>
      </c>
      <c r="H103" s="26">
        <f t="shared" si="3"/>
        <v>0.83333333333333337</v>
      </c>
    </row>
    <row r="104" spans="1:8" ht="17.399999999999999">
      <c r="A104" s="25">
        <v>45683</v>
      </c>
      <c r="B104" s="3" t="s">
        <v>10</v>
      </c>
      <c r="C104" s="3" t="s">
        <v>112</v>
      </c>
      <c r="D104" s="3">
        <v>60</v>
      </c>
      <c r="E104" s="3">
        <v>49</v>
      </c>
      <c r="F104" s="3">
        <v>11</v>
      </c>
      <c r="G104" s="3" t="str">
        <f t="shared" si="2"/>
        <v>2025-01</v>
      </c>
      <c r="H104" s="26">
        <f t="shared" si="3"/>
        <v>0.81666666666666665</v>
      </c>
    </row>
    <row r="105" spans="1:8" ht="17.399999999999999">
      <c r="A105" s="25">
        <v>45683</v>
      </c>
      <c r="B105" s="3" t="s">
        <v>12</v>
      </c>
      <c r="C105" s="3" t="s">
        <v>113</v>
      </c>
      <c r="D105" s="3">
        <v>70</v>
      </c>
      <c r="E105" s="3">
        <v>53</v>
      </c>
      <c r="F105" s="3">
        <v>17</v>
      </c>
      <c r="G105" s="3" t="str">
        <f t="shared" si="2"/>
        <v>2025-01</v>
      </c>
      <c r="H105" s="26">
        <f t="shared" si="3"/>
        <v>0.75714285714285712</v>
      </c>
    </row>
    <row r="106" spans="1:8" ht="17.399999999999999">
      <c r="A106" s="25">
        <v>45684</v>
      </c>
      <c r="B106" s="3" t="s">
        <v>6</v>
      </c>
      <c r="C106" s="3" t="s">
        <v>114</v>
      </c>
      <c r="D106" s="3">
        <v>78</v>
      </c>
      <c r="E106" s="3">
        <v>64</v>
      </c>
      <c r="F106" s="3">
        <v>14</v>
      </c>
      <c r="G106" s="3" t="str">
        <f t="shared" si="2"/>
        <v>2025-01</v>
      </c>
      <c r="H106" s="26">
        <f t="shared" si="3"/>
        <v>0.82051282051282048</v>
      </c>
    </row>
    <row r="107" spans="1:8" ht="17.399999999999999">
      <c r="A107" s="25">
        <v>45684</v>
      </c>
      <c r="B107" s="3" t="s">
        <v>8</v>
      </c>
      <c r="C107" s="3" t="s">
        <v>115</v>
      </c>
      <c r="D107" s="3">
        <v>21</v>
      </c>
      <c r="E107" s="3">
        <v>21</v>
      </c>
      <c r="F107" s="3">
        <v>0</v>
      </c>
      <c r="G107" s="3" t="str">
        <f t="shared" si="2"/>
        <v>2025-01</v>
      </c>
      <c r="H107" s="26">
        <f t="shared" si="3"/>
        <v>1</v>
      </c>
    </row>
    <row r="108" spans="1:8" ht="17.399999999999999">
      <c r="A108" s="25">
        <v>45684</v>
      </c>
      <c r="B108" s="3" t="s">
        <v>10</v>
      </c>
      <c r="C108" s="3" t="s">
        <v>116</v>
      </c>
      <c r="D108" s="3">
        <v>29</v>
      </c>
      <c r="E108" s="3">
        <v>28</v>
      </c>
      <c r="F108" s="3">
        <v>1</v>
      </c>
      <c r="G108" s="3" t="str">
        <f t="shared" si="2"/>
        <v>2025-01</v>
      </c>
      <c r="H108" s="26">
        <f t="shared" si="3"/>
        <v>0.96551724137931039</v>
      </c>
    </row>
    <row r="109" spans="1:8" ht="17.399999999999999">
      <c r="A109" s="25">
        <v>45684</v>
      </c>
      <c r="B109" s="3" t="s">
        <v>12</v>
      </c>
      <c r="C109" s="3" t="s">
        <v>117</v>
      </c>
      <c r="D109" s="3">
        <v>84</v>
      </c>
      <c r="E109" s="3">
        <v>66</v>
      </c>
      <c r="F109" s="3">
        <v>18</v>
      </c>
      <c r="G109" s="3" t="str">
        <f t="shared" si="2"/>
        <v>2025-01</v>
      </c>
      <c r="H109" s="26">
        <f t="shared" si="3"/>
        <v>0.7857142857142857</v>
      </c>
    </row>
    <row r="110" spans="1:8" ht="17.399999999999999">
      <c r="A110" s="25">
        <v>45685</v>
      </c>
      <c r="B110" s="3" t="s">
        <v>6</v>
      </c>
      <c r="C110" s="3" t="s">
        <v>118</v>
      </c>
      <c r="D110" s="3">
        <v>64</v>
      </c>
      <c r="E110" s="3">
        <v>46</v>
      </c>
      <c r="F110" s="3">
        <v>18</v>
      </c>
      <c r="G110" s="3" t="str">
        <f t="shared" si="2"/>
        <v>2025-01</v>
      </c>
      <c r="H110" s="26">
        <f t="shared" si="3"/>
        <v>0.71875</v>
      </c>
    </row>
    <row r="111" spans="1:8" ht="17.399999999999999">
      <c r="A111" s="25">
        <v>45685</v>
      </c>
      <c r="B111" s="3" t="s">
        <v>8</v>
      </c>
      <c r="C111" s="3" t="s">
        <v>119</v>
      </c>
      <c r="D111" s="3">
        <v>67</v>
      </c>
      <c r="E111" s="3">
        <v>55</v>
      </c>
      <c r="F111" s="3">
        <v>12</v>
      </c>
      <c r="G111" s="3" t="str">
        <f t="shared" si="2"/>
        <v>2025-01</v>
      </c>
      <c r="H111" s="26">
        <f t="shared" si="3"/>
        <v>0.82089552238805974</v>
      </c>
    </row>
    <row r="112" spans="1:8" ht="17.399999999999999">
      <c r="A112" s="25">
        <v>45685</v>
      </c>
      <c r="B112" s="3" t="s">
        <v>10</v>
      </c>
      <c r="C112" s="3" t="s">
        <v>120</v>
      </c>
      <c r="D112" s="3">
        <v>76</v>
      </c>
      <c r="E112" s="3">
        <v>70</v>
      </c>
      <c r="F112" s="3">
        <v>6</v>
      </c>
      <c r="G112" s="3" t="str">
        <f t="shared" si="2"/>
        <v>2025-01</v>
      </c>
      <c r="H112" s="26">
        <f t="shared" si="3"/>
        <v>0.92105263157894735</v>
      </c>
    </row>
    <row r="113" spans="1:8" ht="17.399999999999999">
      <c r="A113" s="25">
        <v>45685</v>
      </c>
      <c r="B113" s="3" t="s">
        <v>12</v>
      </c>
      <c r="C113" s="3" t="s">
        <v>121</v>
      </c>
      <c r="D113" s="3">
        <v>98</v>
      </c>
      <c r="E113" s="3">
        <v>93</v>
      </c>
      <c r="F113" s="3">
        <v>5</v>
      </c>
      <c r="G113" s="3" t="str">
        <f t="shared" si="2"/>
        <v>2025-01</v>
      </c>
      <c r="H113" s="26">
        <f t="shared" si="3"/>
        <v>0.94897959183673475</v>
      </c>
    </row>
    <row r="114" spans="1:8" ht="17.399999999999999">
      <c r="A114" s="25">
        <v>45686</v>
      </c>
      <c r="B114" s="3" t="s">
        <v>6</v>
      </c>
      <c r="C114" s="3" t="s">
        <v>122</v>
      </c>
      <c r="D114" s="3">
        <v>21</v>
      </c>
      <c r="E114" s="3">
        <v>18</v>
      </c>
      <c r="F114" s="3">
        <v>3</v>
      </c>
      <c r="G114" s="3" t="str">
        <f t="shared" si="2"/>
        <v>2025-01</v>
      </c>
      <c r="H114" s="26">
        <f t="shared" si="3"/>
        <v>0.8571428571428571</v>
      </c>
    </row>
    <row r="115" spans="1:8" ht="17.399999999999999">
      <c r="A115" s="25">
        <v>45686</v>
      </c>
      <c r="B115" s="3" t="s">
        <v>8</v>
      </c>
      <c r="C115" s="3" t="s">
        <v>123</v>
      </c>
      <c r="D115" s="3">
        <v>37</v>
      </c>
      <c r="E115" s="3">
        <v>29</v>
      </c>
      <c r="F115" s="3">
        <v>8</v>
      </c>
      <c r="G115" s="3" t="str">
        <f t="shared" si="2"/>
        <v>2025-01</v>
      </c>
      <c r="H115" s="26">
        <f t="shared" si="3"/>
        <v>0.78378378378378377</v>
      </c>
    </row>
    <row r="116" spans="1:8" ht="17.399999999999999">
      <c r="A116" s="25">
        <v>45686</v>
      </c>
      <c r="B116" s="3" t="s">
        <v>10</v>
      </c>
      <c r="C116" s="3" t="s">
        <v>124</v>
      </c>
      <c r="D116" s="3">
        <v>33</v>
      </c>
      <c r="E116" s="3">
        <v>31</v>
      </c>
      <c r="F116" s="3">
        <v>2</v>
      </c>
      <c r="G116" s="3" t="str">
        <f t="shared" si="2"/>
        <v>2025-01</v>
      </c>
      <c r="H116" s="26">
        <f t="shared" si="3"/>
        <v>0.93939393939393945</v>
      </c>
    </row>
    <row r="117" spans="1:8" ht="17.399999999999999">
      <c r="A117" s="25">
        <v>45686</v>
      </c>
      <c r="B117" s="3" t="s">
        <v>12</v>
      </c>
      <c r="C117" s="3" t="s">
        <v>125</v>
      </c>
      <c r="D117" s="3">
        <v>54</v>
      </c>
      <c r="E117" s="3">
        <v>46</v>
      </c>
      <c r="F117" s="3">
        <v>8</v>
      </c>
      <c r="G117" s="3" t="str">
        <f t="shared" si="2"/>
        <v>2025-01</v>
      </c>
      <c r="H117" s="26">
        <f t="shared" si="3"/>
        <v>0.85185185185185186</v>
      </c>
    </row>
    <row r="118" spans="1:8" ht="17.399999999999999">
      <c r="A118" s="25">
        <v>45687</v>
      </c>
      <c r="B118" s="3" t="s">
        <v>6</v>
      </c>
      <c r="C118" s="3" t="s">
        <v>126</v>
      </c>
      <c r="D118" s="3">
        <v>63</v>
      </c>
      <c r="E118" s="3">
        <v>50</v>
      </c>
      <c r="F118" s="3">
        <v>13</v>
      </c>
      <c r="G118" s="3" t="str">
        <f t="shared" si="2"/>
        <v>2025-01</v>
      </c>
      <c r="H118" s="26">
        <f t="shared" si="3"/>
        <v>0.79365079365079361</v>
      </c>
    </row>
    <row r="119" spans="1:8" ht="17.399999999999999">
      <c r="A119" s="25">
        <v>45687</v>
      </c>
      <c r="B119" s="3" t="s">
        <v>8</v>
      </c>
      <c r="C119" s="3" t="s">
        <v>127</v>
      </c>
      <c r="D119" s="3">
        <v>84</v>
      </c>
      <c r="E119" s="3">
        <v>73</v>
      </c>
      <c r="F119" s="3">
        <v>11</v>
      </c>
      <c r="G119" s="3" t="str">
        <f t="shared" si="2"/>
        <v>2025-01</v>
      </c>
      <c r="H119" s="26">
        <f t="shared" si="3"/>
        <v>0.86904761904761907</v>
      </c>
    </row>
    <row r="120" spans="1:8" ht="17.399999999999999">
      <c r="A120" s="25">
        <v>45687</v>
      </c>
      <c r="B120" s="3" t="s">
        <v>10</v>
      </c>
      <c r="C120" s="3" t="s">
        <v>128</v>
      </c>
      <c r="D120" s="3">
        <v>26</v>
      </c>
      <c r="E120" s="3">
        <v>19</v>
      </c>
      <c r="F120" s="3">
        <v>7</v>
      </c>
      <c r="G120" s="3" t="str">
        <f t="shared" si="2"/>
        <v>2025-01</v>
      </c>
      <c r="H120" s="26">
        <f t="shared" si="3"/>
        <v>0.73076923076923073</v>
      </c>
    </row>
    <row r="121" spans="1:8" ht="17.399999999999999">
      <c r="A121" s="25">
        <v>45687</v>
      </c>
      <c r="B121" s="3" t="s">
        <v>12</v>
      </c>
      <c r="C121" s="3" t="s">
        <v>85</v>
      </c>
      <c r="D121" s="3">
        <v>55</v>
      </c>
      <c r="E121" s="3">
        <v>39</v>
      </c>
      <c r="F121" s="3">
        <v>16</v>
      </c>
      <c r="G121" s="3" t="str">
        <f t="shared" si="2"/>
        <v>2025-01</v>
      </c>
      <c r="H121" s="26">
        <f t="shared" si="3"/>
        <v>0.70909090909090911</v>
      </c>
    </row>
    <row r="122" spans="1:8" ht="17.399999999999999">
      <c r="A122" s="25">
        <v>45688</v>
      </c>
      <c r="B122" s="3" t="s">
        <v>6</v>
      </c>
      <c r="C122" s="3" t="s">
        <v>129</v>
      </c>
      <c r="D122" s="3">
        <v>62</v>
      </c>
      <c r="E122" s="3">
        <v>47</v>
      </c>
      <c r="F122" s="3">
        <v>15</v>
      </c>
      <c r="G122" s="3" t="str">
        <f t="shared" si="2"/>
        <v>2025-01</v>
      </c>
      <c r="H122" s="26">
        <f t="shared" si="3"/>
        <v>0.75806451612903225</v>
      </c>
    </row>
    <row r="123" spans="1:8" ht="17.399999999999999">
      <c r="A123" s="25">
        <v>45688</v>
      </c>
      <c r="B123" s="3" t="s">
        <v>8</v>
      </c>
      <c r="C123" s="3" t="s">
        <v>130</v>
      </c>
      <c r="D123" s="3">
        <v>40</v>
      </c>
      <c r="E123" s="3">
        <v>39</v>
      </c>
      <c r="F123" s="3">
        <v>1</v>
      </c>
      <c r="G123" s="3" t="str">
        <f t="shared" si="2"/>
        <v>2025-01</v>
      </c>
      <c r="H123" s="26">
        <f t="shared" si="3"/>
        <v>0.97499999999999998</v>
      </c>
    </row>
    <row r="124" spans="1:8" ht="17.399999999999999">
      <c r="A124" s="25">
        <v>45688</v>
      </c>
      <c r="B124" s="3" t="s">
        <v>10</v>
      </c>
      <c r="C124" s="3" t="s">
        <v>131</v>
      </c>
      <c r="D124" s="3">
        <v>90</v>
      </c>
      <c r="E124" s="3">
        <v>84</v>
      </c>
      <c r="F124" s="3">
        <v>6</v>
      </c>
      <c r="G124" s="3" t="str">
        <f t="shared" si="2"/>
        <v>2025-01</v>
      </c>
      <c r="H124" s="26">
        <f t="shared" si="3"/>
        <v>0.93333333333333335</v>
      </c>
    </row>
    <row r="125" spans="1:8" ht="17.399999999999999">
      <c r="A125" s="25">
        <v>45688</v>
      </c>
      <c r="B125" s="3" t="s">
        <v>12</v>
      </c>
      <c r="C125" s="3" t="s">
        <v>132</v>
      </c>
      <c r="D125" s="3">
        <v>91</v>
      </c>
      <c r="E125" s="3">
        <v>63</v>
      </c>
      <c r="F125" s="3">
        <v>28</v>
      </c>
      <c r="G125" s="3" t="str">
        <f t="shared" si="2"/>
        <v>2025-01</v>
      </c>
      <c r="H125" s="26">
        <f t="shared" si="3"/>
        <v>0.69230769230769229</v>
      </c>
    </row>
    <row r="126" spans="1:8" ht="17.399999999999999">
      <c r="A126" s="25">
        <v>45689</v>
      </c>
      <c r="B126" s="3" t="s">
        <v>6</v>
      </c>
      <c r="C126" s="3" t="s">
        <v>133</v>
      </c>
      <c r="D126" s="3">
        <v>29</v>
      </c>
      <c r="E126" s="3">
        <v>22</v>
      </c>
      <c r="F126" s="3">
        <v>7</v>
      </c>
      <c r="G126" s="3" t="str">
        <f t="shared" si="2"/>
        <v>2025-02</v>
      </c>
      <c r="H126" s="26">
        <f t="shared" si="3"/>
        <v>0.75862068965517238</v>
      </c>
    </row>
    <row r="127" spans="1:8" ht="17.399999999999999">
      <c r="A127" s="25">
        <v>45689</v>
      </c>
      <c r="B127" s="3" t="s">
        <v>8</v>
      </c>
      <c r="C127" s="3" t="s">
        <v>134</v>
      </c>
      <c r="D127" s="3">
        <v>24</v>
      </c>
      <c r="E127" s="3">
        <v>21</v>
      </c>
      <c r="F127" s="3">
        <v>3</v>
      </c>
      <c r="G127" s="3" t="str">
        <f t="shared" si="2"/>
        <v>2025-02</v>
      </c>
      <c r="H127" s="26">
        <f t="shared" si="3"/>
        <v>0.875</v>
      </c>
    </row>
    <row r="128" spans="1:8" ht="17.399999999999999">
      <c r="A128" s="25">
        <v>45689</v>
      </c>
      <c r="B128" s="3" t="s">
        <v>10</v>
      </c>
      <c r="C128" s="3" t="s">
        <v>135</v>
      </c>
      <c r="D128" s="3">
        <v>75</v>
      </c>
      <c r="E128" s="3">
        <v>56</v>
      </c>
      <c r="F128" s="3">
        <v>19</v>
      </c>
      <c r="G128" s="3" t="str">
        <f t="shared" si="2"/>
        <v>2025-02</v>
      </c>
      <c r="H128" s="26">
        <f t="shared" si="3"/>
        <v>0.7466666666666667</v>
      </c>
    </row>
    <row r="129" spans="1:8" ht="17.399999999999999">
      <c r="A129" s="25">
        <v>45689</v>
      </c>
      <c r="B129" s="3" t="s">
        <v>12</v>
      </c>
      <c r="C129" s="3" t="s">
        <v>136</v>
      </c>
      <c r="D129" s="3">
        <v>59</v>
      </c>
      <c r="E129" s="3">
        <v>52</v>
      </c>
      <c r="F129" s="3">
        <v>7</v>
      </c>
      <c r="G129" s="3" t="str">
        <f t="shared" si="2"/>
        <v>2025-02</v>
      </c>
      <c r="H129" s="26">
        <f t="shared" si="3"/>
        <v>0.88135593220338981</v>
      </c>
    </row>
    <row r="130" spans="1:8" ht="17.399999999999999">
      <c r="A130" s="25">
        <v>45690</v>
      </c>
      <c r="B130" s="3" t="s">
        <v>6</v>
      </c>
      <c r="C130" s="3" t="s">
        <v>137</v>
      </c>
      <c r="D130" s="3">
        <v>65</v>
      </c>
      <c r="E130" s="3">
        <v>51</v>
      </c>
      <c r="F130" s="3">
        <v>14</v>
      </c>
      <c r="G130" s="3" t="str">
        <f t="shared" si="2"/>
        <v>2025-02</v>
      </c>
      <c r="H130" s="26">
        <f t="shared" si="3"/>
        <v>0.7846153846153846</v>
      </c>
    </row>
    <row r="131" spans="1:8" ht="17.399999999999999">
      <c r="A131" s="25">
        <v>45690</v>
      </c>
      <c r="B131" s="3" t="s">
        <v>8</v>
      </c>
      <c r="C131" s="3" t="s">
        <v>138</v>
      </c>
      <c r="D131" s="3">
        <v>33</v>
      </c>
      <c r="E131" s="3">
        <v>28</v>
      </c>
      <c r="F131" s="3">
        <v>5</v>
      </c>
      <c r="G131" s="3" t="str">
        <f t="shared" ref="G131:G194" si="4">TEXT(A131,"yyyy-mm")</f>
        <v>2025-02</v>
      </c>
      <c r="H131" s="26">
        <f t="shared" ref="H131:H194" si="5">E131/D131</f>
        <v>0.84848484848484851</v>
      </c>
    </row>
    <row r="132" spans="1:8" ht="17.399999999999999">
      <c r="A132" s="25">
        <v>45690</v>
      </c>
      <c r="B132" s="3" t="s">
        <v>10</v>
      </c>
      <c r="C132" s="3" t="s">
        <v>139</v>
      </c>
      <c r="D132" s="3">
        <v>99</v>
      </c>
      <c r="E132" s="3">
        <v>92</v>
      </c>
      <c r="F132" s="3">
        <v>7</v>
      </c>
      <c r="G132" s="3" t="str">
        <f t="shared" si="4"/>
        <v>2025-02</v>
      </c>
      <c r="H132" s="26">
        <f t="shared" si="5"/>
        <v>0.92929292929292928</v>
      </c>
    </row>
    <row r="133" spans="1:8" ht="17.399999999999999">
      <c r="A133" s="25">
        <v>45690</v>
      </c>
      <c r="B133" s="3" t="s">
        <v>12</v>
      </c>
      <c r="C133" s="3" t="s">
        <v>140</v>
      </c>
      <c r="D133" s="3">
        <v>50</v>
      </c>
      <c r="E133" s="3">
        <v>40</v>
      </c>
      <c r="F133" s="3">
        <v>10</v>
      </c>
      <c r="G133" s="3" t="str">
        <f t="shared" si="4"/>
        <v>2025-02</v>
      </c>
      <c r="H133" s="26">
        <f t="shared" si="5"/>
        <v>0.8</v>
      </c>
    </row>
    <row r="134" spans="1:8" ht="17.399999999999999">
      <c r="A134" s="25">
        <v>45691</v>
      </c>
      <c r="B134" s="3" t="s">
        <v>6</v>
      </c>
      <c r="C134" s="3" t="s">
        <v>141</v>
      </c>
      <c r="D134" s="3">
        <v>72</v>
      </c>
      <c r="E134" s="3">
        <v>50</v>
      </c>
      <c r="F134" s="3">
        <v>22</v>
      </c>
      <c r="G134" s="3" t="str">
        <f t="shared" si="4"/>
        <v>2025-02</v>
      </c>
      <c r="H134" s="26">
        <f t="shared" si="5"/>
        <v>0.69444444444444442</v>
      </c>
    </row>
    <row r="135" spans="1:8" ht="17.399999999999999">
      <c r="A135" s="25">
        <v>45691</v>
      </c>
      <c r="B135" s="3" t="s">
        <v>8</v>
      </c>
      <c r="C135" s="3" t="s">
        <v>142</v>
      </c>
      <c r="D135" s="3">
        <v>62</v>
      </c>
      <c r="E135" s="3">
        <v>56</v>
      </c>
      <c r="F135" s="3">
        <v>6</v>
      </c>
      <c r="G135" s="3" t="str">
        <f t="shared" si="4"/>
        <v>2025-02</v>
      </c>
      <c r="H135" s="26">
        <f t="shared" si="5"/>
        <v>0.90322580645161288</v>
      </c>
    </row>
    <row r="136" spans="1:8" ht="17.399999999999999">
      <c r="A136" s="25">
        <v>45691</v>
      </c>
      <c r="B136" s="3" t="s">
        <v>10</v>
      </c>
      <c r="C136" s="3" t="s">
        <v>143</v>
      </c>
      <c r="D136" s="3">
        <v>54</v>
      </c>
      <c r="E136" s="3">
        <v>42</v>
      </c>
      <c r="F136" s="3">
        <v>12</v>
      </c>
      <c r="G136" s="3" t="str">
        <f t="shared" si="4"/>
        <v>2025-02</v>
      </c>
      <c r="H136" s="26">
        <f t="shared" si="5"/>
        <v>0.77777777777777779</v>
      </c>
    </row>
    <row r="137" spans="1:8" ht="17.399999999999999">
      <c r="A137" s="25">
        <v>45691</v>
      </c>
      <c r="B137" s="3" t="s">
        <v>12</v>
      </c>
      <c r="C137" s="3" t="s">
        <v>144</v>
      </c>
      <c r="D137" s="3">
        <v>68</v>
      </c>
      <c r="E137" s="3">
        <v>48</v>
      </c>
      <c r="F137" s="3">
        <v>20</v>
      </c>
      <c r="G137" s="3" t="str">
        <f t="shared" si="4"/>
        <v>2025-02</v>
      </c>
      <c r="H137" s="26">
        <f t="shared" si="5"/>
        <v>0.70588235294117652</v>
      </c>
    </row>
    <row r="138" spans="1:8" ht="17.399999999999999">
      <c r="A138" s="25">
        <v>45692</v>
      </c>
      <c r="B138" s="3" t="s">
        <v>6</v>
      </c>
      <c r="C138" s="3" t="s">
        <v>145</v>
      </c>
      <c r="D138" s="3">
        <v>48</v>
      </c>
      <c r="E138" s="3">
        <v>39</v>
      </c>
      <c r="F138" s="3">
        <v>9</v>
      </c>
      <c r="G138" s="3" t="str">
        <f t="shared" si="4"/>
        <v>2025-02</v>
      </c>
      <c r="H138" s="26">
        <f t="shared" si="5"/>
        <v>0.8125</v>
      </c>
    </row>
    <row r="139" spans="1:8" ht="17.399999999999999">
      <c r="A139" s="25">
        <v>45692</v>
      </c>
      <c r="B139" s="3" t="s">
        <v>8</v>
      </c>
      <c r="C139" s="3" t="s">
        <v>146</v>
      </c>
      <c r="D139" s="3">
        <v>64</v>
      </c>
      <c r="E139" s="3">
        <v>53</v>
      </c>
      <c r="F139" s="3">
        <v>11</v>
      </c>
      <c r="G139" s="3" t="str">
        <f t="shared" si="4"/>
        <v>2025-02</v>
      </c>
      <c r="H139" s="26">
        <f t="shared" si="5"/>
        <v>0.828125</v>
      </c>
    </row>
    <row r="140" spans="1:8" ht="17.399999999999999">
      <c r="A140" s="25">
        <v>45692</v>
      </c>
      <c r="B140" s="3" t="s">
        <v>10</v>
      </c>
      <c r="C140" s="3" t="s">
        <v>147</v>
      </c>
      <c r="D140" s="3">
        <v>48</v>
      </c>
      <c r="E140" s="3">
        <v>33</v>
      </c>
      <c r="F140" s="3">
        <v>15</v>
      </c>
      <c r="G140" s="3" t="str">
        <f t="shared" si="4"/>
        <v>2025-02</v>
      </c>
      <c r="H140" s="26">
        <f t="shared" si="5"/>
        <v>0.6875</v>
      </c>
    </row>
    <row r="141" spans="1:8" ht="17.399999999999999">
      <c r="A141" s="25">
        <v>45692</v>
      </c>
      <c r="B141" s="3" t="s">
        <v>12</v>
      </c>
      <c r="C141" s="3" t="s">
        <v>148</v>
      </c>
      <c r="D141" s="3">
        <v>71</v>
      </c>
      <c r="E141" s="3">
        <v>59</v>
      </c>
      <c r="F141" s="3">
        <v>12</v>
      </c>
      <c r="G141" s="3" t="str">
        <f t="shared" si="4"/>
        <v>2025-02</v>
      </c>
      <c r="H141" s="26">
        <f t="shared" si="5"/>
        <v>0.83098591549295775</v>
      </c>
    </row>
    <row r="142" spans="1:8" ht="17.399999999999999">
      <c r="A142" s="25">
        <v>45693</v>
      </c>
      <c r="B142" s="3" t="s">
        <v>6</v>
      </c>
      <c r="C142" s="3" t="s">
        <v>149</v>
      </c>
      <c r="D142" s="3">
        <v>28</v>
      </c>
      <c r="E142" s="3">
        <v>23</v>
      </c>
      <c r="F142" s="3">
        <v>5</v>
      </c>
      <c r="G142" s="3" t="str">
        <f t="shared" si="4"/>
        <v>2025-02</v>
      </c>
      <c r="H142" s="26">
        <f t="shared" si="5"/>
        <v>0.8214285714285714</v>
      </c>
    </row>
    <row r="143" spans="1:8" ht="17.399999999999999">
      <c r="A143" s="25">
        <v>45693</v>
      </c>
      <c r="B143" s="3" t="s">
        <v>8</v>
      </c>
      <c r="C143" s="3" t="s">
        <v>150</v>
      </c>
      <c r="D143" s="3">
        <v>85</v>
      </c>
      <c r="E143" s="3">
        <v>71</v>
      </c>
      <c r="F143" s="3">
        <v>14</v>
      </c>
      <c r="G143" s="3" t="str">
        <f t="shared" si="4"/>
        <v>2025-02</v>
      </c>
      <c r="H143" s="26">
        <f t="shared" si="5"/>
        <v>0.83529411764705885</v>
      </c>
    </row>
    <row r="144" spans="1:8" ht="17.399999999999999">
      <c r="A144" s="25">
        <v>45693</v>
      </c>
      <c r="B144" s="3" t="s">
        <v>10</v>
      </c>
      <c r="C144" s="3" t="s">
        <v>151</v>
      </c>
      <c r="D144" s="3">
        <v>62</v>
      </c>
      <c r="E144" s="3">
        <v>43</v>
      </c>
      <c r="F144" s="3">
        <v>19</v>
      </c>
      <c r="G144" s="3" t="str">
        <f t="shared" si="4"/>
        <v>2025-02</v>
      </c>
      <c r="H144" s="26">
        <f t="shared" si="5"/>
        <v>0.69354838709677424</v>
      </c>
    </row>
    <row r="145" spans="1:8" ht="17.399999999999999">
      <c r="A145" s="25">
        <v>45693</v>
      </c>
      <c r="B145" s="3" t="s">
        <v>12</v>
      </c>
      <c r="C145" s="3" t="s">
        <v>152</v>
      </c>
      <c r="D145" s="3">
        <v>53</v>
      </c>
      <c r="E145" s="3">
        <v>42</v>
      </c>
      <c r="F145" s="3">
        <v>11</v>
      </c>
      <c r="G145" s="3" t="str">
        <f t="shared" si="4"/>
        <v>2025-02</v>
      </c>
      <c r="H145" s="26">
        <f t="shared" si="5"/>
        <v>0.79245283018867929</v>
      </c>
    </row>
    <row r="146" spans="1:8" ht="17.399999999999999">
      <c r="A146" s="25">
        <v>45694</v>
      </c>
      <c r="B146" s="3" t="s">
        <v>6</v>
      </c>
      <c r="C146" s="3" t="s">
        <v>153</v>
      </c>
      <c r="D146" s="3">
        <v>24</v>
      </c>
      <c r="E146" s="3">
        <v>17</v>
      </c>
      <c r="F146" s="3">
        <v>7</v>
      </c>
      <c r="G146" s="3" t="str">
        <f t="shared" si="4"/>
        <v>2025-02</v>
      </c>
      <c r="H146" s="26">
        <f t="shared" si="5"/>
        <v>0.70833333333333337</v>
      </c>
    </row>
    <row r="147" spans="1:8" ht="17.399999999999999">
      <c r="A147" s="25">
        <v>45694</v>
      </c>
      <c r="B147" s="3" t="s">
        <v>8</v>
      </c>
      <c r="C147" s="3" t="s">
        <v>154</v>
      </c>
      <c r="D147" s="3">
        <v>64</v>
      </c>
      <c r="E147" s="3">
        <v>54</v>
      </c>
      <c r="F147" s="3">
        <v>10</v>
      </c>
      <c r="G147" s="3" t="str">
        <f t="shared" si="4"/>
        <v>2025-02</v>
      </c>
      <c r="H147" s="26">
        <f t="shared" si="5"/>
        <v>0.84375</v>
      </c>
    </row>
    <row r="148" spans="1:8" ht="17.399999999999999">
      <c r="A148" s="25">
        <v>45694</v>
      </c>
      <c r="B148" s="3" t="s">
        <v>10</v>
      </c>
      <c r="C148" s="3" t="s">
        <v>155</v>
      </c>
      <c r="D148" s="3">
        <v>97</v>
      </c>
      <c r="E148" s="3">
        <v>83</v>
      </c>
      <c r="F148" s="3">
        <v>14</v>
      </c>
      <c r="G148" s="3" t="str">
        <f t="shared" si="4"/>
        <v>2025-02</v>
      </c>
      <c r="H148" s="26">
        <f t="shared" si="5"/>
        <v>0.85567010309278346</v>
      </c>
    </row>
    <row r="149" spans="1:8" ht="17.399999999999999">
      <c r="A149" s="25">
        <v>45694</v>
      </c>
      <c r="B149" s="3" t="s">
        <v>12</v>
      </c>
      <c r="C149" s="3" t="s">
        <v>156</v>
      </c>
      <c r="D149" s="3">
        <v>69</v>
      </c>
      <c r="E149" s="3">
        <v>66</v>
      </c>
      <c r="F149" s="3">
        <v>3</v>
      </c>
      <c r="G149" s="3" t="str">
        <f t="shared" si="4"/>
        <v>2025-02</v>
      </c>
      <c r="H149" s="26">
        <f t="shared" si="5"/>
        <v>0.95652173913043481</v>
      </c>
    </row>
    <row r="150" spans="1:8" ht="17.399999999999999">
      <c r="A150" s="25">
        <v>45695</v>
      </c>
      <c r="B150" s="3" t="s">
        <v>6</v>
      </c>
      <c r="C150" s="3" t="s">
        <v>157</v>
      </c>
      <c r="D150" s="3">
        <v>52</v>
      </c>
      <c r="E150" s="3">
        <v>37</v>
      </c>
      <c r="F150" s="3">
        <v>15</v>
      </c>
      <c r="G150" s="3" t="str">
        <f t="shared" si="4"/>
        <v>2025-02</v>
      </c>
      <c r="H150" s="26">
        <f t="shared" si="5"/>
        <v>0.71153846153846156</v>
      </c>
    </row>
    <row r="151" spans="1:8" ht="17.399999999999999">
      <c r="A151" s="25">
        <v>45695</v>
      </c>
      <c r="B151" s="3" t="s">
        <v>8</v>
      </c>
      <c r="C151" s="3" t="s">
        <v>158</v>
      </c>
      <c r="D151" s="3">
        <v>20</v>
      </c>
      <c r="E151" s="3">
        <v>18</v>
      </c>
      <c r="F151" s="3">
        <v>2</v>
      </c>
      <c r="G151" s="3" t="str">
        <f t="shared" si="4"/>
        <v>2025-02</v>
      </c>
      <c r="H151" s="26">
        <f t="shared" si="5"/>
        <v>0.9</v>
      </c>
    </row>
    <row r="152" spans="1:8" ht="17.399999999999999">
      <c r="A152" s="25">
        <v>45695</v>
      </c>
      <c r="B152" s="3" t="s">
        <v>10</v>
      </c>
      <c r="C152" s="3" t="s">
        <v>159</v>
      </c>
      <c r="D152" s="3">
        <v>45</v>
      </c>
      <c r="E152" s="3">
        <v>36</v>
      </c>
      <c r="F152" s="3">
        <v>9</v>
      </c>
      <c r="G152" s="3" t="str">
        <f t="shared" si="4"/>
        <v>2025-02</v>
      </c>
      <c r="H152" s="26">
        <f t="shared" si="5"/>
        <v>0.8</v>
      </c>
    </row>
    <row r="153" spans="1:8" ht="17.399999999999999">
      <c r="A153" s="25">
        <v>45695</v>
      </c>
      <c r="B153" s="3" t="s">
        <v>12</v>
      </c>
      <c r="C153" s="3" t="s">
        <v>160</v>
      </c>
      <c r="D153" s="3">
        <v>28</v>
      </c>
      <c r="E153" s="3">
        <v>24</v>
      </c>
      <c r="F153" s="3">
        <v>4</v>
      </c>
      <c r="G153" s="3" t="str">
        <f t="shared" si="4"/>
        <v>2025-02</v>
      </c>
      <c r="H153" s="26">
        <f t="shared" si="5"/>
        <v>0.8571428571428571</v>
      </c>
    </row>
    <row r="154" spans="1:8" ht="17.399999999999999">
      <c r="A154" s="25">
        <v>45696</v>
      </c>
      <c r="B154" s="3" t="s">
        <v>6</v>
      </c>
      <c r="C154" s="3" t="s">
        <v>161</v>
      </c>
      <c r="D154" s="3">
        <v>35</v>
      </c>
      <c r="E154" s="3">
        <v>35</v>
      </c>
      <c r="F154" s="3">
        <v>0</v>
      </c>
      <c r="G154" s="3" t="str">
        <f t="shared" si="4"/>
        <v>2025-02</v>
      </c>
      <c r="H154" s="26">
        <f t="shared" si="5"/>
        <v>1</v>
      </c>
    </row>
    <row r="155" spans="1:8" ht="17.399999999999999">
      <c r="A155" s="25">
        <v>45696</v>
      </c>
      <c r="B155" s="3" t="s">
        <v>8</v>
      </c>
      <c r="C155" s="3" t="s">
        <v>162</v>
      </c>
      <c r="D155" s="3">
        <v>84</v>
      </c>
      <c r="E155" s="3">
        <v>67</v>
      </c>
      <c r="F155" s="3">
        <v>17</v>
      </c>
      <c r="G155" s="3" t="str">
        <f t="shared" si="4"/>
        <v>2025-02</v>
      </c>
      <c r="H155" s="26">
        <f t="shared" si="5"/>
        <v>0.79761904761904767</v>
      </c>
    </row>
    <row r="156" spans="1:8" ht="17.399999999999999">
      <c r="A156" s="25">
        <v>45696</v>
      </c>
      <c r="B156" s="3" t="s">
        <v>10</v>
      </c>
      <c r="C156" s="3" t="s">
        <v>163</v>
      </c>
      <c r="D156" s="3">
        <v>61</v>
      </c>
      <c r="E156" s="3">
        <v>54</v>
      </c>
      <c r="F156" s="3">
        <v>7</v>
      </c>
      <c r="G156" s="3" t="str">
        <f t="shared" si="4"/>
        <v>2025-02</v>
      </c>
      <c r="H156" s="26">
        <f t="shared" si="5"/>
        <v>0.88524590163934425</v>
      </c>
    </row>
    <row r="157" spans="1:8" ht="17.399999999999999">
      <c r="A157" s="25">
        <v>45696</v>
      </c>
      <c r="B157" s="3" t="s">
        <v>12</v>
      </c>
      <c r="C157" s="3" t="s">
        <v>164</v>
      </c>
      <c r="D157" s="3">
        <v>90</v>
      </c>
      <c r="E157" s="3">
        <v>66</v>
      </c>
      <c r="F157" s="3">
        <v>24</v>
      </c>
      <c r="G157" s="3" t="str">
        <f t="shared" si="4"/>
        <v>2025-02</v>
      </c>
      <c r="H157" s="26">
        <f t="shared" si="5"/>
        <v>0.73333333333333328</v>
      </c>
    </row>
    <row r="158" spans="1:8" ht="17.399999999999999">
      <c r="A158" s="25">
        <v>45697</v>
      </c>
      <c r="B158" s="3" t="s">
        <v>6</v>
      </c>
      <c r="C158" s="3" t="s">
        <v>165</v>
      </c>
      <c r="D158" s="3">
        <v>73</v>
      </c>
      <c r="E158" s="3">
        <v>72</v>
      </c>
      <c r="F158" s="3">
        <v>1</v>
      </c>
      <c r="G158" s="3" t="str">
        <f t="shared" si="4"/>
        <v>2025-02</v>
      </c>
      <c r="H158" s="26">
        <f t="shared" si="5"/>
        <v>0.98630136986301364</v>
      </c>
    </row>
    <row r="159" spans="1:8" ht="17.399999999999999">
      <c r="A159" s="25">
        <v>45697</v>
      </c>
      <c r="B159" s="3" t="s">
        <v>8</v>
      </c>
      <c r="C159" s="3" t="s">
        <v>166</v>
      </c>
      <c r="D159" s="3">
        <v>42</v>
      </c>
      <c r="E159" s="3">
        <v>38</v>
      </c>
      <c r="F159" s="3">
        <v>4</v>
      </c>
      <c r="G159" s="3" t="str">
        <f t="shared" si="4"/>
        <v>2025-02</v>
      </c>
      <c r="H159" s="26">
        <f t="shared" si="5"/>
        <v>0.90476190476190477</v>
      </c>
    </row>
    <row r="160" spans="1:8" ht="17.399999999999999">
      <c r="A160" s="25">
        <v>45697</v>
      </c>
      <c r="B160" s="3" t="s">
        <v>10</v>
      </c>
      <c r="C160" s="3" t="s">
        <v>167</v>
      </c>
      <c r="D160" s="3">
        <v>71</v>
      </c>
      <c r="E160" s="3">
        <v>66</v>
      </c>
      <c r="F160" s="3">
        <v>5</v>
      </c>
      <c r="G160" s="3" t="str">
        <f t="shared" si="4"/>
        <v>2025-02</v>
      </c>
      <c r="H160" s="26">
        <f t="shared" si="5"/>
        <v>0.92957746478873238</v>
      </c>
    </row>
    <row r="161" spans="1:8" ht="17.399999999999999">
      <c r="A161" s="25">
        <v>45697</v>
      </c>
      <c r="B161" s="3" t="s">
        <v>12</v>
      </c>
      <c r="C161" s="3" t="s">
        <v>168</v>
      </c>
      <c r="D161" s="3">
        <v>58</v>
      </c>
      <c r="E161" s="3">
        <v>49</v>
      </c>
      <c r="F161" s="3">
        <v>9</v>
      </c>
      <c r="G161" s="3" t="str">
        <f t="shared" si="4"/>
        <v>2025-02</v>
      </c>
      <c r="H161" s="26">
        <f t="shared" si="5"/>
        <v>0.84482758620689657</v>
      </c>
    </row>
    <row r="162" spans="1:8" ht="17.399999999999999">
      <c r="A162" s="25">
        <v>45698</v>
      </c>
      <c r="B162" s="3" t="s">
        <v>6</v>
      </c>
      <c r="C162" s="3" t="s">
        <v>169</v>
      </c>
      <c r="D162" s="3">
        <v>75</v>
      </c>
      <c r="E162" s="3">
        <v>70</v>
      </c>
      <c r="F162" s="3">
        <v>5</v>
      </c>
      <c r="G162" s="3" t="str">
        <f t="shared" si="4"/>
        <v>2025-02</v>
      </c>
      <c r="H162" s="26">
        <f t="shared" si="5"/>
        <v>0.93333333333333335</v>
      </c>
    </row>
    <row r="163" spans="1:8" ht="17.399999999999999">
      <c r="A163" s="25">
        <v>45698</v>
      </c>
      <c r="B163" s="3" t="s">
        <v>8</v>
      </c>
      <c r="C163" s="3" t="s">
        <v>170</v>
      </c>
      <c r="D163" s="3">
        <v>79</v>
      </c>
      <c r="E163" s="3">
        <v>69</v>
      </c>
      <c r="F163" s="3">
        <v>10</v>
      </c>
      <c r="G163" s="3" t="str">
        <f t="shared" si="4"/>
        <v>2025-02</v>
      </c>
      <c r="H163" s="26">
        <f t="shared" si="5"/>
        <v>0.87341772151898733</v>
      </c>
    </row>
    <row r="164" spans="1:8" ht="17.399999999999999">
      <c r="A164" s="25">
        <v>45698</v>
      </c>
      <c r="B164" s="3" t="s">
        <v>10</v>
      </c>
      <c r="C164" s="3" t="s">
        <v>171</v>
      </c>
      <c r="D164" s="3">
        <v>47</v>
      </c>
      <c r="E164" s="3">
        <v>47</v>
      </c>
      <c r="F164" s="3">
        <v>0</v>
      </c>
      <c r="G164" s="3" t="str">
        <f t="shared" si="4"/>
        <v>2025-02</v>
      </c>
      <c r="H164" s="26">
        <f t="shared" si="5"/>
        <v>1</v>
      </c>
    </row>
    <row r="165" spans="1:8" ht="17.399999999999999">
      <c r="A165" s="25">
        <v>45698</v>
      </c>
      <c r="B165" s="3" t="s">
        <v>12</v>
      </c>
      <c r="C165" s="3" t="s">
        <v>172</v>
      </c>
      <c r="D165" s="3">
        <v>30</v>
      </c>
      <c r="E165" s="3">
        <v>25</v>
      </c>
      <c r="F165" s="3">
        <v>5</v>
      </c>
      <c r="G165" s="3" t="str">
        <f t="shared" si="4"/>
        <v>2025-02</v>
      </c>
      <c r="H165" s="26">
        <f t="shared" si="5"/>
        <v>0.83333333333333337</v>
      </c>
    </row>
    <row r="166" spans="1:8" ht="17.399999999999999">
      <c r="A166" s="25">
        <v>45699</v>
      </c>
      <c r="B166" s="3" t="s">
        <v>6</v>
      </c>
      <c r="C166" s="3" t="s">
        <v>173</v>
      </c>
      <c r="D166" s="3">
        <v>99</v>
      </c>
      <c r="E166" s="3">
        <v>79</v>
      </c>
      <c r="F166" s="3">
        <v>20</v>
      </c>
      <c r="G166" s="3" t="str">
        <f t="shared" si="4"/>
        <v>2025-02</v>
      </c>
      <c r="H166" s="26">
        <f t="shared" si="5"/>
        <v>0.79797979797979801</v>
      </c>
    </row>
    <row r="167" spans="1:8" ht="17.399999999999999">
      <c r="A167" s="25">
        <v>45699</v>
      </c>
      <c r="B167" s="3" t="s">
        <v>8</v>
      </c>
      <c r="C167" s="3" t="s">
        <v>174</v>
      </c>
      <c r="D167" s="3">
        <v>50</v>
      </c>
      <c r="E167" s="3">
        <v>44</v>
      </c>
      <c r="F167" s="3">
        <v>6</v>
      </c>
      <c r="G167" s="3" t="str">
        <f t="shared" si="4"/>
        <v>2025-02</v>
      </c>
      <c r="H167" s="26">
        <f t="shared" si="5"/>
        <v>0.88</v>
      </c>
    </row>
    <row r="168" spans="1:8" ht="17.399999999999999">
      <c r="A168" s="25">
        <v>45699</v>
      </c>
      <c r="B168" s="3" t="s">
        <v>10</v>
      </c>
      <c r="C168" s="3" t="s">
        <v>175</v>
      </c>
      <c r="D168" s="3">
        <v>45</v>
      </c>
      <c r="E168" s="3">
        <v>33</v>
      </c>
      <c r="F168" s="3">
        <v>12</v>
      </c>
      <c r="G168" s="3" t="str">
        <f t="shared" si="4"/>
        <v>2025-02</v>
      </c>
      <c r="H168" s="26">
        <f t="shared" si="5"/>
        <v>0.73333333333333328</v>
      </c>
    </row>
    <row r="169" spans="1:8" ht="17.399999999999999">
      <c r="A169" s="25">
        <v>45699</v>
      </c>
      <c r="B169" s="3" t="s">
        <v>12</v>
      </c>
      <c r="C169" s="3" t="s">
        <v>176</v>
      </c>
      <c r="D169" s="3">
        <v>25</v>
      </c>
      <c r="E169" s="3">
        <v>20</v>
      </c>
      <c r="F169" s="3">
        <v>5</v>
      </c>
      <c r="G169" s="3" t="str">
        <f t="shared" si="4"/>
        <v>2025-02</v>
      </c>
      <c r="H169" s="26">
        <f t="shared" si="5"/>
        <v>0.8</v>
      </c>
    </row>
    <row r="170" spans="1:8" ht="17.399999999999999">
      <c r="A170" s="25">
        <v>45700</v>
      </c>
      <c r="B170" s="3" t="s">
        <v>6</v>
      </c>
      <c r="C170" s="3" t="s">
        <v>177</v>
      </c>
      <c r="D170" s="3">
        <v>98</v>
      </c>
      <c r="E170" s="3">
        <v>95</v>
      </c>
      <c r="F170" s="3">
        <v>3</v>
      </c>
      <c r="G170" s="3" t="str">
        <f t="shared" si="4"/>
        <v>2025-02</v>
      </c>
      <c r="H170" s="26">
        <f t="shared" si="5"/>
        <v>0.96938775510204078</v>
      </c>
    </row>
    <row r="171" spans="1:8" ht="17.399999999999999">
      <c r="A171" s="25">
        <v>45700</v>
      </c>
      <c r="B171" s="3" t="s">
        <v>8</v>
      </c>
      <c r="C171" s="3" t="s">
        <v>178</v>
      </c>
      <c r="D171" s="3">
        <v>78</v>
      </c>
      <c r="E171" s="3">
        <v>67</v>
      </c>
      <c r="F171" s="3">
        <v>11</v>
      </c>
      <c r="G171" s="3" t="str">
        <f t="shared" si="4"/>
        <v>2025-02</v>
      </c>
      <c r="H171" s="26">
        <f t="shared" si="5"/>
        <v>0.85897435897435892</v>
      </c>
    </row>
    <row r="172" spans="1:8" ht="17.399999999999999">
      <c r="A172" s="25">
        <v>45700</v>
      </c>
      <c r="B172" s="3" t="s">
        <v>10</v>
      </c>
      <c r="C172" s="3" t="s">
        <v>179</v>
      </c>
      <c r="D172" s="3">
        <v>69</v>
      </c>
      <c r="E172" s="3">
        <v>63</v>
      </c>
      <c r="F172" s="3">
        <v>6</v>
      </c>
      <c r="G172" s="3" t="str">
        <f t="shared" si="4"/>
        <v>2025-02</v>
      </c>
      <c r="H172" s="26">
        <f t="shared" si="5"/>
        <v>0.91304347826086951</v>
      </c>
    </row>
    <row r="173" spans="1:8" ht="17.399999999999999">
      <c r="A173" s="25">
        <v>45700</v>
      </c>
      <c r="B173" s="3" t="s">
        <v>12</v>
      </c>
      <c r="C173" s="3" t="s">
        <v>180</v>
      </c>
      <c r="D173" s="3">
        <v>51</v>
      </c>
      <c r="E173" s="3">
        <v>39</v>
      </c>
      <c r="F173" s="3">
        <v>12</v>
      </c>
      <c r="G173" s="3" t="str">
        <f t="shared" si="4"/>
        <v>2025-02</v>
      </c>
      <c r="H173" s="26">
        <f t="shared" si="5"/>
        <v>0.76470588235294112</v>
      </c>
    </row>
    <row r="174" spans="1:8" ht="17.399999999999999">
      <c r="A174" s="25">
        <v>45701</v>
      </c>
      <c r="B174" s="3" t="s">
        <v>6</v>
      </c>
      <c r="C174" s="3" t="s">
        <v>181</v>
      </c>
      <c r="D174" s="3">
        <v>33</v>
      </c>
      <c r="E174" s="3">
        <v>29</v>
      </c>
      <c r="F174" s="3">
        <v>4</v>
      </c>
      <c r="G174" s="3" t="str">
        <f t="shared" si="4"/>
        <v>2025-02</v>
      </c>
      <c r="H174" s="26">
        <f t="shared" si="5"/>
        <v>0.87878787878787878</v>
      </c>
    </row>
    <row r="175" spans="1:8" ht="17.399999999999999">
      <c r="A175" s="25">
        <v>45701</v>
      </c>
      <c r="B175" s="3" t="s">
        <v>8</v>
      </c>
      <c r="C175" s="3" t="s">
        <v>182</v>
      </c>
      <c r="D175" s="3">
        <v>42</v>
      </c>
      <c r="E175" s="3">
        <v>41</v>
      </c>
      <c r="F175" s="3">
        <v>1</v>
      </c>
      <c r="G175" s="3" t="str">
        <f t="shared" si="4"/>
        <v>2025-02</v>
      </c>
      <c r="H175" s="26">
        <f t="shared" si="5"/>
        <v>0.97619047619047616</v>
      </c>
    </row>
    <row r="176" spans="1:8" ht="17.399999999999999">
      <c r="A176" s="25">
        <v>45701</v>
      </c>
      <c r="B176" s="3" t="s">
        <v>10</v>
      </c>
      <c r="C176" s="3" t="s">
        <v>183</v>
      </c>
      <c r="D176" s="3">
        <v>79</v>
      </c>
      <c r="E176" s="3">
        <v>56</v>
      </c>
      <c r="F176" s="3">
        <v>23</v>
      </c>
      <c r="G176" s="3" t="str">
        <f t="shared" si="4"/>
        <v>2025-02</v>
      </c>
      <c r="H176" s="26">
        <f t="shared" si="5"/>
        <v>0.70886075949367089</v>
      </c>
    </row>
    <row r="177" spans="1:8" ht="17.399999999999999">
      <c r="A177" s="25">
        <v>45701</v>
      </c>
      <c r="B177" s="3" t="s">
        <v>12</v>
      </c>
      <c r="C177" s="3" t="s">
        <v>184</v>
      </c>
      <c r="D177" s="3">
        <v>35</v>
      </c>
      <c r="E177" s="3">
        <v>31</v>
      </c>
      <c r="F177" s="3">
        <v>4</v>
      </c>
      <c r="G177" s="3" t="str">
        <f t="shared" si="4"/>
        <v>2025-02</v>
      </c>
      <c r="H177" s="26">
        <f t="shared" si="5"/>
        <v>0.88571428571428568</v>
      </c>
    </row>
    <row r="178" spans="1:8" ht="17.399999999999999">
      <c r="A178" s="25">
        <v>45702</v>
      </c>
      <c r="B178" s="3" t="s">
        <v>6</v>
      </c>
      <c r="C178" s="3" t="s">
        <v>185</v>
      </c>
      <c r="D178" s="3">
        <v>79</v>
      </c>
      <c r="E178" s="3">
        <v>76</v>
      </c>
      <c r="F178" s="3">
        <v>3</v>
      </c>
      <c r="G178" s="3" t="str">
        <f t="shared" si="4"/>
        <v>2025-02</v>
      </c>
      <c r="H178" s="26">
        <f t="shared" si="5"/>
        <v>0.96202531645569622</v>
      </c>
    </row>
    <row r="179" spans="1:8" ht="17.399999999999999">
      <c r="A179" s="25">
        <v>45702</v>
      </c>
      <c r="B179" s="3" t="s">
        <v>8</v>
      </c>
      <c r="C179" s="3" t="s">
        <v>186</v>
      </c>
      <c r="D179" s="3">
        <v>91</v>
      </c>
      <c r="E179" s="3">
        <v>82</v>
      </c>
      <c r="F179" s="3">
        <v>9</v>
      </c>
      <c r="G179" s="3" t="str">
        <f t="shared" si="4"/>
        <v>2025-02</v>
      </c>
      <c r="H179" s="26">
        <f t="shared" si="5"/>
        <v>0.90109890109890112</v>
      </c>
    </row>
    <row r="180" spans="1:8" ht="17.399999999999999">
      <c r="A180" s="25">
        <v>45702</v>
      </c>
      <c r="B180" s="3" t="s">
        <v>10</v>
      </c>
      <c r="C180" s="3" t="s">
        <v>187</v>
      </c>
      <c r="D180" s="3">
        <v>76</v>
      </c>
      <c r="E180" s="3">
        <v>72</v>
      </c>
      <c r="F180" s="3">
        <v>4</v>
      </c>
      <c r="G180" s="3" t="str">
        <f t="shared" si="4"/>
        <v>2025-02</v>
      </c>
      <c r="H180" s="26">
        <f t="shared" si="5"/>
        <v>0.94736842105263153</v>
      </c>
    </row>
    <row r="181" spans="1:8" ht="17.399999999999999">
      <c r="A181" s="25">
        <v>45702</v>
      </c>
      <c r="B181" s="3" t="s">
        <v>12</v>
      </c>
      <c r="C181" s="3" t="s">
        <v>188</v>
      </c>
      <c r="D181" s="3">
        <v>74</v>
      </c>
      <c r="E181" s="3">
        <v>68</v>
      </c>
      <c r="F181" s="3">
        <v>6</v>
      </c>
      <c r="G181" s="3" t="str">
        <f t="shared" si="4"/>
        <v>2025-02</v>
      </c>
      <c r="H181" s="26">
        <f t="shared" si="5"/>
        <v>0.91891891891891897</v>
      </c>
    </row>
    <row r="182" spans="1:8" ht="17.399999999999999">
      <c r="A182" s="25">
        <v>45703</v>
      </c>
      <c r="B182" s="3" t="s">
        <v>6</v>
      </c>
      <c r="C182" s="3" t="s">
        <v>189</v>
      </c>
      <c r="D182" s="3">
        <v>40</v>
      </c>
      <c r="E182" s="3">
        <v>39</v>
      </c>
      <c r="F182" s="3">
        <v>1</v>
      </c>
      <c r="G182" s="3" t="str">
        <f t="shared" si="4"/>
        <v>2025-02</v>
      </c>
      <c r="H182" s="26">
        <f t="shared" si="5"/>
        <v>0.97499999999999998</v>
      </c>
    </row>
    <row r="183" spans="1:8" ht="17.399999999999999">
      <c r="A183" s="25">
        <v>45703</v>
      </c>
      <c r="B183" s="3" t="s">
        <v>8</v>
      </c>
      <c r="C183" s="3" t="s">
        <v>190</v>
      </c>
      <c r="D183" s="3">
        <v>77</v>
      </c>
      <c r="E183" s="3">
        <v>61</v>
      </c>
      <c r="F183" s="3">
        <v>16</v>
      </c>
      <c r="G183" s="3" t="str">
        <f t="shared" si="4"/>
        <v>2025-02</v>
      </c>
      <c r="H183" s="26">
        <f t="shared" si="5"/>
        <v>0.79220779220779225</v>
      </c>
    </row>
    <row r="184" spans="1:8" ht="17.399999999999999">
      <c r="A184" s="25">
        <v>45703</v>
      </c>
      <c r="B184" s="3" t="s">
        <v>10</v>
      </c>
      <c r="C184" s="3" t="s">
        <v>191</v>
      </c>
      <c r="D184" s="3">
        <v>55</v>
      </c>
      <c r="E184" s="3">
        <v>54</v>
      </c>
      <c r="F184" s="3">
        <v>1</v>
      </c>
      <c r="G184" s="3" t="str">
        <f t="shared" si="4"/>
        <v>2025-02</v>
      </c>
      <c r="H184" s="26">
        <f t="shared" si="5"/>
        <v>0.98181818181818181</v>
      </c>
    </row>
    <row r="185" spans="1:8" ht="17.399999999999999">
      <c r="A185" s="25">
        <v>45703</v>
      </c>
      <c r="B185" s="3" t="s">
        <v>12</v>
      </c>
      <c r="C185" s="3" t="s">
        <v>192</v>
      </c>
      <c r="D185" s="3">
        <v>100</v>
      </c>
      <c r="E185" s="3">
        <v>77</v>
      </c>
      <c r="F185" s="3">
        <v>23</v>
      </c>
      <c r="G185" s="3" t="str">
        <f t="shared" si="4"/>
        <v>2025-02</v>
      </c>
      <c r="H185" s="26">
        <f t="shared" si="5"/>
        <v>0.77</v>
      </c>
    </row>
    <row r="186" spans="1:8" ht="17.399999999999999">
      <c r="A186" s="25">
        <v>45704</v>
      </c>
      <c r="B186" s="3" t="s">
        <v>6</v>
      </c>
      <c r="C186" s="3" t="s">
        <v>193</v>
      </c>
      <c r="D186" s="3">
        <v>76</v>
      </c>
      <c r="E186" s="3">
        <v>55</v>
      </c>
      <c r="F186" s="3">
        <v>21</v>
      </c>
      <c r="G186" s="3" t="str">
        <f t="shared" si="4"/>
        <v>2025-02</v>
      </c>
      <c r="H186" s="26">
        <f t="shared" si="5"/>
        <v>0.72368421052631582</v>
      </c>
    </row>
    <row r="187" spans="1:8" ht="17.399999999999999">
      <c r="A187" s="25">
        <v>45704</v>
      </c>
      <c r="B187" s="3" t="s">
        <v>8</v>
      </c>
      <c r="C187" s="3" t="s">
        <v>194</v>
      </c>
      <c r="D187" s="3">
        <v>50</v>
      </c>
      <c r="E187" s="3">
        <v>43</v>
      </c>
      <c r="F187" s="3">
        <v>7</v>
      </c>
      <c r="G187" s="3" t="str">
        <f t="shared" si="4"/>
        <v>2025-02</v>
      </c>
      <c r="H187" s="26">
        <f t="shared" si="5"/>
        <v>0.86</v>
      </c>
    </row>
    <row r="188" spans="1:8" ht="17.399999999999999">
      <c r="A188" s="25">
        <v>45704</v>
      </c>
      <c r="B188" s="3" t="s">
        <v>10</v>
      </c>
      <c r="C188" s="3" t="s">
        <v>195</v>
      </c>
      <c r="D188" s="3">
        <v>60</v>
      </c>
      <c r="E188" s="3">
        <v>59</v>
      </c>
      <c r="F188" s="3">
        <v>1</v>
      </c>
      <c r="G188" s="3" t="str">
        <f t="shared" si="4"/>
        <v>2025-02</v>
      </c>
      <c r="H188" s="26">
        <f t="shared" si="5"/>
        <v>0.98333333333333328</v>
      </c>
    </row>
    <row r="189" spans="1:8" ht="17.399999999999999">
      <c r="A189" s="25">
        <v>45704</v>
      </c>
      <c r="B189" s="3" t="s">
        <v>12</v>
      </c>
      <c r="C189" s="3" t="s">
        <v>196</v>
      </c>
      <c r="D189" s="3">
        <v>37</v>
      </c>
      <c r="E189" s="3">
        <v>27</v>
      </c>
      <c r="F189" s="3">
        <v>10</v>
      </c>
      <c r="G189" s="3" t="str">
        <f t="shared" si="4"/>
        <v>2025-02</v>
      </c>
      <c r="H189" s="26">
        <f t="shared" si="5"/>
        <v>0.72972972972972971</v>
      </c>
    </row>
    <row r="190" spans="1:8" ht="17.399999999999999">
      <c r="A190" s="25">
        <v>45705</v>
      </c>
      <c r="B190" s="3" t="s">
        <v>6</v>
      </c>
      <c r="C190" s="3" t="s">
        <v>197</v>
      </c>
      <c r="D190" s="3">
        <v>69</v>
      </c>
      <c r="E190" s="3">
        <v>52</v>
      </c>
      <c r="F190" s="3">
        <v>17</v>
      </c>
      <c r="G190" s="3" t="str">
        <f t="shared" si="4"/>
        <v>2025-02</v>
      </c>
      <c r="H190" s="26">
        <f t="shared" si="5"/>
        <v>0.75362318840579712</v>
      </c>
    </row>
    <row r="191" spans="1:8" ht="17.399999999999999">
      <c r="A191" s="25">
        <v>45705</v>
      </c>
      <c r="B191" s="3" t="s">
        <v>8</v>
      </c>
      <c r="C191" s="3" t="s">
        <v>198</v>
      </c>
      <c r="D191" s="3">
        <v>28</v>
      </c>
      <c r="E191" s="3">
        <v>25</v>
      </c>
      <c r="F191" s="3">
        <v>3</v>
      </c>
      <c r="G191" s="3" t="str">
        <f t="shared" si="4"/>
        <v>2025-02</v>
      </c>
      <c r="H191" s="26">
        <f t="shared" si="5"/>
        <v>0.8928571428571429</v>
      </c>
    </row>
    <row r="192" spans="1:8" ht="17.399999999999999">
      <c r="A192" s="25">
        <v>45705</v>
      </c>
      <c r="B192" s="3" t="s">
        <v>10</v>
      </c>
      <c r="C192" s="3" t="s">
        <v>199</v>
      </c>
      <c r="D192" s="3">
        <v>62</v>
      </c>
      <c r="E192" s="3">
        <v>60</v>
      </c>
      <c r="F192" s="3">
        <v>2</v>
      </c>
      <c r="G192" s="3" t="str">
        <f t="shared" si="4"/>
        <v>2025-02</v>
      </c>
      <c r="H192" s="26">
        <f t="shared" si="5"/>
        <v>0.967741935483871</v>
      </c>
    </row>
    <row r="193" spans="1:8" ht="17.399999999999999">
      <c r="A193" s="25">
        <v>45705</v>
      </c>
      <c r="B193" s="3" t="s">
        <v>12</v>
      </c>
      <c r="C193" s="3" t="s">
        <v>200</v>
      </c>
      <c r="D193" s="3">
        <v>73</v>
      </c>
      <c r="E193" s="3">
        <v>52</v>
      </c>
      <c r="F193" s="3">
        <v>21</v>
      </c>
      <c r="G193" s="3" t="str">
        <f t="shared" si="4"/>
        <v>2025-02</v>
      </c>
      <c r="H193" s="26">
        <f t="shared" si="5"/>
        <v>0.71232876712328763</v>
      </c>
    </row>
    <row r="194" spans="1:8" ht="17.399999999999999">
      <c r="A194" s="25">
        <v>45706</v>
      </c>
      <c r="B194" s="3" t="s">
        <v>6</v>
      </c>
      <c r="C194" s="3" t="s">
        <v>201</v>
      </c>
      <c r="D194" s="3">
        <v>73</v>
      </c>
      <c r="E194" s="3">
        <v>63</v>
      </c>
      <c r="F194" s="3">
        <v>10</v>
      </c>
      <c r="G194" s="3" t="str">
        <f t="shared" si="4"/>
        <v>2025-02</v>
      </c>
      <c r="H194" s="26">
        <f t="shared" si="5"/>
        <v>0.86301369863013699</v>
      </c>
    </row>
    <row r="195" spans="1:8" ht="17.399999999999999">
      <c r="A195" s="25">
        <v>45706</v>
      </c>
      <c r="B195" s="3" t="s">
        <v>8</v>
      </c>
      <c r="C195" s="3" t="s">
        <v>202</v>
      </c>
      <c r="D195" s="3">
        <v>93</v>
      </c>
      <c r="E195" s="3">
        <v>77</v>
      </c>
      <c r="F195" s="3">
        <v>16</v>
      </c>
      <c r="G195" s="3" t="str">
        <f t="shared" ref="G195:G258" si="6">TEXT(A195,"yyyy-mm")</f>
        <v>2025-02</v>
      </c>
      <c r="H195" s="26">
        <f t="shared" ref="H195:H258" si="7">E195/D195</f>
        <v>0.82795698924731187</v>
      </c>
    </row>
    <row r="196" spans="1:8" ht="17.399999999999999">
      <c r="A196" s="25">
        <v>45706</v>
      </c>
      <c r="B196" s="3" t="s">
        <v>10</v>
      </c>
      <c r="C196" s="3" t="s">
        <v>203</v>
      </c>
      <c r="D196" s="3">
        <v>20</v>
      </c>
      <c r="E196" s="3">
        <v>16</v>
      </c>
      <c r="F196" s="3">
        <v>4</v>
      </c>
      <c r="G196" s="3" t="str">
        <f t="shared" si="6"/>
        <v>2025-02</v>
      </c>
      <c r="H196" s="26">
        <f t="shared" si="7"/>
        <v>0.8</v>
      </c>
    </row>
    <row r="197" spans="1:8" ht="17.399999999999999">
      <c r="A197" s="25">
        <v>45706</v>
      </c>
      <c r="B197" s="3" t="s">
        <v>12</v>
      </c>
      <c r="C197" s="3" t="s">
        <v>204</v>
      </c>
      <c r="D197" s="3">
        <v>69</v>
      </c>
      <c r="E197" s="3">
        <v>61</v>
      </c>
      <c r="F197" s="3">
        <v>8</v>
      </c>
      <c r="G197" s="3" t="str">
        <f t="shared" si="6"/>
        <v>2025-02</v>
      </c>
      <c r="H197" s="26">
        <f t="shared" si="7"/>
        <v>0.88405797101449279</v>
      </c>
    </row>
    <row r="198" spans="1:8" ht="17.399999999999999">
      <c r="A198" s="25">
        <v>45707</v>
      </c>
      <c r="B198" s="3" t="s">
        <v>6</v>
      </c>
      <c r="C198" s="3" t="s">
        <v>205</v>
      </c>
      <c r="D198" s="3">
        <v>89</v>
      </c>
      <c r="E198" s="3">
        <v>87</v>
      </c>
      <c r="F198" s="3">
        <v>2</v>
      </c>
      <c r="G198" s="3" t="str">
        <f t="shared" si="6"/>
        <v>2025-02</v>
      </c>
      <c r="H198" s="26">
        <f t="shared" si="7"/>
        <v>0.97752808988764039</v>
      </c>
    </row>
    <row r="199" spans="1:8" ht="17.399999999999999">
      <c r="A199" s="25">
        <v>45707</v>
      </c>
      <c r="B199" s="3" t="s">
        <v>8</v>
      </c>
      <c r="C199" s="3" t="s">
        <v>206</v>
      </c>
      <c r="D199" s="3">
        <v>82</v>
      </c>
      <c r="E199" s="3">
        <v>64</v>
      </c>
      <c r="F199" s="3">
        <v>18</v>
      </c>
      <c r="G199" s="3" t="str">
        <f t="shared" si="6"/>
        <v>2025-02</v>
      </c>
      <c r="H199" s="26">
        <f t="shared" si="7"/>
        <v>0.78048780487804881</v>
      </c>
    </row>
    <row r="200" spans="1:8" ht="17.399999999999999">
      <c r="A200" s="25">
        <v>45707</v>
      </c>
      <c r="B200" s="3" t="s">
        <v>10</v>
      </c>
      <c r="C200" s="3" t="s">
        <v>207</v>
      </c>
      <c r="D200" s="3">
        <v>75</v>
      </c>
      <c r="E200" s="3">
        <v>67</v>
      </c>
      <c r="F200" s="3">
        <v>8</v>
      </c>
      <c r="G200" s="3" t="str">
        <f t="shared" si="6"/>
        <v>2025-02</v>
      </c>
      <c r="H200" s="26">
        <f t="shared" si="7"/>
        <v>0.89333333333333331</v>
      </c>
    </row>
    <row r="201" spans="1:8" ht="17.399999999999999">
      <c r="A201" s="25">
        <v>45707</v>
      </c>
      <c r="B201" s="3" t="s">
        <v>12</v>
      </c>
      <c r="C201" s="3" t="s">
        <v>208</v>
      </c>
      <c r="D201" s="3">
        <v>69</v>
      </c>
      <c r="E201" s="3">
        <v>58</v>
      </c>
      <c r="F201" s="3">
        <v>11</v>
      </c>
      <c r="G201" s="3" t="str">
        <f t="shared" si="6"/>
        <v>2025-02</v>
      </c>
      <c r="H201" s="26">
        <f t="shared" si="7"/>
        <v>0.84057971014492749</v>
      </c>
    </row>
    <row r="202" spans="1:8" ht="17.399999999999999">
      <c r="A202" s="25">
        <v>45708</v>
      </c>
      <c r="B202" s="3" t="s">
        <v>6</v>
      </c>
      <c r="C202" s="3" t="s">
        <v>209</v>
      </c>
      <c r="D202" s="3">
        <v>41</v>
      </c>
      <c r="E202" s="3">
        <v>41</v>
      </c>
      <c r="F202" s="3">
        <v>0</v>
      </c>
      <c r="G202" s="3" t="str">
        <f t="shared" si="6"/>
        <v>2025-02</v>
      </c>
      <c r="H202" s="26">
        <f t="shared" si="7"/>
        <v>1</v>
      </c>
    </row>
    <row r="203" spans="1:8" ht="17.399999999999999">
      <c r="A203" s="25">
        <v>45708</v>
      </c>
      <c r="B203" s="3" t="s">
        <v>8</v>
      </c>
      <c r="C203" s="3" t="s">
        <v>210</v>
      </c>
      <c r="D203" s="3">
        <v>36</v>
      </c>
      <c r="E203" s="3">
        <v>34</v>
      </c>
      <c r="F203" s="3">
        <v>2</v>
      </c>
      <c r="G203" s="3" t="str">
        <f t="shared" si="6"/>
        <v>2025-02</v>
      </c>
      <c r="H203" s="26">
        <f t="shared" si="7"/>
        <v>0.94444444444444442</v>
      </c>
    </row>
    <row r="204" spans="1:8" ht="17.399999999999999">
      <c r="A204" s="25">
        <v>45708</v>
      </c>
      <c r="B204" s="3" t="s">
        <v>10</v>
      </c>
      <c r="C204" s="3" t="s">
        <v>211</v>
      </c>
      <c r="D204" s="3">
        <v>23</v>
      </c>
      <c r="E204" s="3">
        <v>22</v>
      </c>
      <c r="F204" s="3">
        <v>1</v>
      </c>
      <c r="G204" s="3" t="str">
        <f t="shared" si="6"/>
        <v>2025-02</v>
      </c>
      <c r="H204" s="26">
        <f t="shared" si="7"/>
        <v>0.95652173913043481</v>
      </c>
    </row>
    <row r="205" spans="1:8" ht="17.399999999999999">
      <c r="A205" s="25">
        <v>45708</v>
      </c>
      <c r="B205" s="3" t="s">
        <v>12</v>
      </c>
      <c r="C205" s="3" t="s">
        <v>212</v>
      </c>
      <c r="D205" s="3">
        <v>30</v>
      </c>
      <c r="E205" s="3">
        <v>27</v>
      </c>
      <c r="F205" s="3">
        <v>3</v>
      </c>
      <c r="G205" s="3" t="str">
        <f t="shared" si="6"/>
        <v>2025-02</v>
      </c>
      <c r="H205" s="26">
        <f t="shared" si="7"/>
        <v>0.9</v>
      </c>
    </row>
    <row r="206" spans="1:8" ht="17.399999999999999">
      <c r="A206" s="25">
        <v>45709</v>
      </c>
      <c r="B206" s="3" t="s">
        <v>6</v>
      </c>
      <c r="C206" s="3" t="s">
        <v>213</v>
      </c>
      <c r="D206" s="3">
        <v>79</v>
      </c>
      <c r="E206" s="3">
        <v>60</v>
      </c>
      <c r="F206" s="3">
        <v>19</v>
      </c>
      <c r="G206" s="3" t="str">
        <f t="shared" si="6"/>
        <v>2025-02</v>
      </c>
      <c r="H206" s="26">
        <f t="shared" si="7"/>
        <v>0.759493670886076</v>
      </c>
    </row>
    <row r="207" spans="1:8" ht="17.399999999999999">
      <c r="A207" s="25">
        <v>45709</v>
      </c>
      <c r="B207" s="3" t="s">
        <v>8</v>
      </c>
      <c r="C207" s="3" t="s">
        <v>214</v>
      </c>
      <c r="D207" s="3">
        <v>53</v>
      </c>
      <c r="E207" s="3">
        <v>49</v>
      </c>
      <c r="F207" s="3">
        <v>4</v>
      </c>
      <c r="G207" s="3" t="str">
        <f t="shared" si="6"/>
        <v>2025-02</v>
      </c>
      <c r="H207" s="26">
        <f t="shared" si="7"/>
        <v>0.92452830188679247</v>
      </c>
    </row>
    <row r="208" spans="1:8" ht="17.399999999999999">
      <c r="A208" s="25">
        <v>45709</v>
      </c>
      <c r="B208" s="3" t="s">
        <v>10</v>
      </c>
      <c r="C208" s="3" t="s">
        <v>215</v>
      </c>
      <c r="D208" s="3">
        <v>47</v>
      </c>
      <c r="E208" s="3">
        <v>46</v>
      </c>
      <c r="F208" s="3">
        <v>1</v>
      </c>
      <c r="G208" s="3" t="str">
        <f t="shared" si="6"/>
        <v>2025-02</v>
      </c>
      <c r="H208" s="26">
        <f t="shared" si="7"/>
        <v>0.97872340425531912</v>
      </c>
    </row>
    <row r="209" spans="1:8" ht="17.399999999999999">
      <c r="A209" s="25">
        <v>45709</v>
      </c>
      <c r="B209" s="3" t="s">
        <v>12</v>
      </c>
      <c r="C209" s="3" t="s">
        <v>216</v>
      </c>
      <c r="D209" s="3">
        <v>63</v>
      </c>
      <c r="E209" s="3">
        <v>56</v>
      </c>
      <c r="F209" s="3">
        <v>7</v>
      </c>
      <c r="G209" s="3" t="str">
        <f t="shared" si="6"/>
        <v>2025-02</v>
      </c>
      <c r="H209" s="26">
        <f t="shared" si="7"/>
        <v>0.88888888888888884</v>
      </c>
    </row>
    <row r="210" spans="1:8" ht="17.399999999999999">
      <c r="A210" s="25">
        <v>45710</v>
      </c>
      <c r="B210" s="3" t="s">
        <v>6</v>
      </c>
      <c r="C210" s="3" t="s">
        <v>217</v>
      </c>
      <c r="D210" s="3">
        <v>73</v>
      </c>
      <c r="E210" s="3">
        <v>59</v>
      </c>
      <c r="F210" s="3">
        <v>14</v>
      </c>
      <c r="G210" s="3" t="str">
        <f t="shared" si="6"/>
        <v>2025-02</v>
      </c>
      <c r="H210" s="26">
        <f t="shared" si="7"/>
        <v>0.80821917808219179</v>
      </c>
    </row>
    <row r="211" spans="1:8" ht="17.399999999999999">
      <c r="A211" s="25">
        <v>45710</v>
      </c>
      <c r="B211" s="3" t="s">
        <v>8</v>
      </c>
      <c r="C211" s="3" t="s">
        <v>218</v>
      </c>
      <c r="D211" s="3">
        <v>80</v>
      </c>
      <c r="E211" s="3">
        <v>56</v>
      </c>
      <c r="F211" s="3">
        <v>24</v>
      </c>
      <c r="G211" s="3" t="str">
        <f t="shared" si="6"/>
        <v>2025-02</v>
      </c>
      <c r="H211" s="26">
        <f t="shared" si="7"/>
        <v>0.7</v>
      </c>
    </row>
    <row r="212" spans="1:8" ht="17.399999999999999">
      <c r="A212" s="25">
        <v>45710</v>
      </c>
      <c r="B212" s="3" t="s">
        <v>10</v>
      </c>
      <c r="C212" s="3" t="s">
        <v>219</v>
      </c>
      <c r="D212" s="3">
        <v>26</v>
      </c>
      <c r="E212" s="3">
        <v>23</v>
      </c>
      <c r="F212" s="3">
        <v>3</v>
      </c>
      <c r="G212" s="3" t="str">
        <f t="shared" si="6"/>
        <v>2025-02</v>
      </c>
      <c r="H212" s="26">
        <f t="shared" si="7"/>
        <v>0.88461538461538458</v>
      </c>
    </row>
    <row r="213" spans="1:8" ht="17.399999999999999">
      <c r="A213" s="25">
        <v>45710</v>
      </c>
      <c r="B213" s="3" t="s">
        <v>12</v>
      </c>
      <c r="C213" s="3" t="s">
        <v>220</v>
      </c>
      <c r="D213" s="3">
        <v>28</v>
      </c>
      <c r="E213" s="3">
        <v>19</v>
      </c>
      <c r="F213" s="3">
        <v>9</v>
      </c>
      <c r="G213" s="3" t="str">
        <f t="shared" si="6"/>
        <v>2025-02</v>
      </c>
      <c r="H213" s="26">
        <f t="shared" si="7"/>
        <v>0.6785714285714286</v>
      </c>
    </row>
    <row r="214" spans="1:8" ht="17.399999999999999">
      <c r="A214" s="25">
        <v>45711</v>
      </c>
      <c r="B214" s="3" t="s">
        <v>6</v>
      </c>
      <c r="C214" s="3" t="s">
        <v>221</v>
      </c>
      <c r="D214" s="3">
        <v>51</v>
      </c>
      <c r="E214" s="3">
        <v>41</v>
      </c>
      <c r="F214" s="3">
        <v>10</v>
      </c>
      <c r="G214" s="3" t="str">
        <f t="shared" si="6"/>
        <v>2025-02</v>
      </c>
      <c r="H214" s="26">
        <f t="shared" si="7"/>
        <v>0.80392156862745101</v>
      </c>
    </row>
    <row r="215" spans="1:8" ht="17.399999999999999">
      <c r="A215" s="25">
        <v>45711</v>
      </c>
      <c r="B215" s="3" t="s">
        <v>8</v>
      </c>
      <c r="C215" s="3" t="s">
        <v>222</v>
      </c>
      <c r="D215" s="3">
        <v>99</v>
      </c>
      <c r="E215" s="3">
        <v>73</v>
      </c>
      <c r="F215" s="3">
        <v>26</v>
      </c>
      <c r="G215" s="3" t="str">
        <f t="shared" si="6"/>
        <v>2025-02</v>
      </c>
      <c r="H215" s="26">
        <f t="shared" si="7"/>
        <v>0.73737373737373735</v>
      </c>
    </row>
    <row r="216" spans="1:8" ht="17.399999999999999">
      <c r="A216" s="25">
        <v>45711</v>
      </c>
      <c r="B216" s="3" t="s">
        <v>10</v>
      </c>
      <c r="C216" s="3" t="s">
        <v>223</v>
      </c>
      <c r="D216" s="3">
        <v>36</v>
      </c>
      <c r="E216" s="3">
        <v>32</v>
      </c>
      <c r="F216" s="3">
        <v>4</v>
      </c>
      <c r="G216" s="3" t="str">
        <f t="shared" si="6"/>
        <v>2025-02</v>
      </c>
      <c r="H216" s="26">
        <f t="shared" si="7"/>
        <v>0.88888888888888884</v>
      </c>
    </row>
    <row r="217" spans="1:8" ht="17.399999999999999">
      <c r="A217" s="25">
        <v>45711</v>
      </c>
      <c r="B217" s="3" t="s">
        <v>12</v>
      </c>
      <c r="C217" s="3" t="s">
        <v>224</v>
      </c>
      <c r="D217" s="3">
        <v>92</v>
      </c>
      <c r="E217" s="3">
        <v>70</v>
      </c>
      <c r="F217" s="3">
        <v>22</v>
      </c>
      <c r="G217" s="3" t="str">
        <f t="shared" si="6"/>
        <v>2025-02</v>
      </c>
      <c r="H217" s="26">
        <f t="shared" si="7"/>
        <v>0.76086956521739135</v>
      </c>
    </row>
    <row r="218" spans="1:8" ht="17.399999999999999">
      <c r="A218" s="25">
        <v>45712</v>
      </c>
      <c r="B218" s="3" t="s">
        <v>6</v>
      </c>
      <c r="C218" s="3" t="s">
        <v>225</v>
      </c>
      <c r="D218" s="3">
        <v>52</v>
      </c>
      <c r="E218" s="3">
        <v>47</v>
      </c>
      <c r="F218" s="3">
        <v>5</v>
      </c>
      <c r="G218" s="3" t="str">
        <f t="shared" si="6"/>
        <v>2025-02</v>
      </c>
      <c r="H218" s="26">
        <f t="shared" si="7"/>
        <v>0.90384615384615385</v>
      </c>
    </row>
    <row r="219" spans="1:8" ht="17.399999999999999">
      <c r="A219" s="25">
        <v>45712</v>
      </c>
      <c r="B219" s="3" t="s">
        <v>8</v>
      </c>
      <c r="C219" s="3" t="s">
        <v>226</v>
      </c>
      <c r="D219" s="3">
        <v>97</v>
      </c>
      <c r="E219" s="3">
        <v>86</v>
      </c>
      <c r="F219" s="3">
        <v>11</v>
      </c>
      <c r="G219" s="3" t="str">
        <f t="shared" si="6"/>
        <v>2025-02</v>
      </c>
      <c r="H219" s="26">
        <f t="shared" si="7"/>
        <v>0.88659793814432986</v>
      </c>
    </row>
    <row r="220" spans="1:8" ht="17.399999999999999">
      <c r="A220" s="25">
        <v>45712</v>
      </c>
      <c r="B220" s="3" t="s">
        <v>10</v>
      </c>
      <c r="C220" s="3" t="s">
        <v>227</v>
      </c>
      <c r="D220" s="3">
        <v>40</v>
      </c>
      <c r="E220" s="3">
        <v>32</v>
      </c>
      <c r="F220" s="3">
        <v>8</v>
      </c>
      <c r="G220" s="3" t="str">
        <f t="shared" si="6"/>
        <v>2025-02</v>
      </c>
      <c r="H220" s="26">
        <f t="shared" si="7"/>
        <v>0.8</v>
      </c>
    </row>
    <row r="221" spans="1:8" ht="17.399999999999999">
      <c r="A221" s="25">
        <v>45712</v>
      </c>
      <c r="B221" s="3" t="s">
        <v>12</v>
      </c>
      <c r="C221" s="3" t="s">
        <v>144</v>
      </c>
      <c r="D221" s="3">
        <v>94</v>
      </c>
      <c r="E221" s="3">
        <v>65</v>
      </c>
      <c r="F221" s="3">
        <v>29</v>
      </c>
      <c r="G221" s="3" t="str">
        <f t="shared" si="6"/>
        <v>2025-02</v>
      </c>
      <c r="H221" s="26">
        <f t="shared" si="7"/>
        <v>0.69148936170212771</v>
      </c>
    </row>
    <row r="222" spans="1:8" ht="17.399999999999999">
      <c r="A222" s="25">
        <v>45713</v>
      </c>
      <c r="B222" s="3" t="s">
        <v>6</v>
      </c>
      <c r="C222" s="3" t="s">
        <v>228</v>
      </c>
      <c r="D222" s="3">
        <v>93</v>
      </c>
      <c r="E222" s="3">
        <v>86</v>
      </c>
      <c r="F222" s="3">
        <v>7</v>
      </c>
      <c r="G222" s="3" t="str">
        <f t="shared" si="6"/>
        <v>2025-02</v>
      </c>
      <c r="H222" s="26">
        <f t="shared" si="7"/>
        <v>0.92473118279569888</v>
      </c>
    </row>
    <row r="223" spans="1:8" ht="17.399999999999999">
      <c r="A223" s="25">
        <v>45713</v>
      </c>
      <c r="B223" s="3" t="s">
        <v>8</v>
      </c>
      <c r="C223" s="3" t="s">
        <v>229</v>
      </c>
      <c r="D223" s="3">
        <v>70</v>
      </c>
      <c r="E223" s="3">
        <v>55</v>
      </c>
      <c r="F223" s="3">
        <v>15</v>
      </c>
      <c r="G223" s="3" t="str">
        <f t="shared" si="6"/>
        <v>2025-02</v>
      </c>
      <c r="H223" s="26">
        <f t="shared" si="7"/>
        <v>0.7857142857142857</v>
      </c>
    </row>
    <row r="224" spans="1:8" ht="17.399999999999999">
      <c r="A224" s="25">
        <v>45713</v>
      </c>
      <c r="B224" s="3" t="s">
        <v>10</v>
      </c>
      <c r="C224" s="3" t="s">
        <v>230</v>
      </c>
      <c r="D224" s="3">
        <v>95</v>
      </c>
      <c r="E224" s="3">
        <v>88</v>
      </c>
      <c r="F224" s="3">
        <v>7</v>
      </c>
      <c r="G224" s="3" t="str">
        <f t="shared" si="6"/>
        <v>2025-02</v>
      </c>
      <c r="H224" s="26">
        <f t="shared" si="7"/>
        <v>0.9263157894736842</v>
      </c>
    </row>
    <row r="225" spans="1:8" ht="17.399999999999999">
      <c r="A225" s="25">
        <v>45713</v>
      </c>
      <c r="B225" s="3" t="s">
        <v>12</v>
      </c>
      <c r="C225" s="3" t="s">
        <v>231</v>
      </c>
      <c r="D225" s="3">
        <v>33</v>
      </c>
      <c r="E225" s="3">
        <v>27</v>
      </c>
      <c r="F225" s="3">
        <v>6</v>
      </c>
      <c r="G225" s="3" t="str">
        <f t="shared" si="6"/>
        <v>2025-02</v>
      </c>
      <c r="H225" s="26">
        <f t="shared" si="7"/>
        <v>0.81818181818181823</v>
      </c>
    </row>
    <row r="226" spans="1:8" ht="17.399999999999999">
      <c r="A226" s="25">
        <v>45714</v>
      </c>
      <c r="B226" s="3" t="s">
        <v>6</v>
      </c>
      <c r="C226" s="3" t="s">
        <v>232</v>
      </c>
      <c r="D226" s="3">
        <v>92</v>
      </c>
      <c r="E226" s="3">
        <v>89</v>
      </c>
      <c r="F226" s="3">
        <v>3</v>
      </c>
      <c r="G226" s="3" t="str">
        <f t="shared" si="6"/>
        <v>2025-02</v>
      </c>
      <c r="H226" s="26">
        <f t="shared" si="7"/>
        <v>0.96739130434782605</v>
      </c>
    </row>
    <row r="227" spans="1:8" ht="17.399999999999999">
      <c r="A227" s="25">
        <v>45714</v>
      </c>
      <c r="B227" s="3" t="s">
        <v>8</v>
      </c>
      <c r="C227" s="3" t="s">
        <v>233</v>
      </c>
      <c r="D227" s="3">
        <v>64</v>
      </c>
      <c r="E227" s="3">
        <v>61</v>
      </c>
      <c r="F227" s="3">
        <v>3</v>
      </c>
      <c r="G227" s="3" t="str">
        <f t="shared" si="6"/>
        <v>2025-02</v>
      </c>
      <c r="H227" s="26">
        <f t="shared" si="7"/>
        <v>0.953125</v>
      </c>
    </row>
    <row r="228" spans="1:8" ht="17.399999999999999">
      <c r="A228" s="25">
        <v>45714</v>
      </c>
      <c r="B228" s="3" t="s">
        <v>10</v>
      </c>
      <c r="C228" s="3" t="s">
        <v>234</v>
      </c>
      <c r="D228" s="3">
        <v>67</v>
      </c>
      <c r="E228" s="3">
        <v>48</v>
      </c>
      <c r="F228" s="3">
        <v>19</v>
      </c>
      <c r="G228" s="3" t="str">
        <f t="shared" si="6"/>
        <v>2025-02</v>
      </c>
      <c r="H228" s="26">
        <f t="shared" si="7"/>
        <v>0.71641791044776115</v>
      </c>
    </row>
    <row r="229" spans="1:8" ht="17.399999999999999">
      <c r="A229" s="25">
        <v>45714</v>
      </c>
      <c r="B229" s="3" t="s">
        <v>12</v>
      </c>
      <c r="C229" s="3" t="s">
        <v>235</v>
      </c>
      <c r="D229" s="3">
        <v>63</v>
      </c>
      <c r="E229" s="3">
        <v>44</v>
      </c>
      <c r="F229" s="3">
        <v>19</v>
      </c>
      <c r="G229" s="3" t="str">
        <f t="shared" si="6"/>
        <v>2025-02</v>
      </c>
      <c r="H229" s="26">
        <f t="shared" si="7"/>
        <v>0.69841269841269837</v>
      </c>
    </row>
    <row r="230" spans="1:8" ht="17.399999999999999">
      <c r="A230" s="25">
        <v>45715</v>
      </c>
      <c r="B230" s="3" t="s">
        <v>6</v>
      </c>
      <c r="C230" s="3" t="s">
        <v>236</v>
      </c>
      <c r="D230" s="3">
        <v>82</v>
      </c>
      <c r="E230" s="3">
        <v>60</v>
      </c>
      <c r="F230" s="3">
        <v>22</v>
      </c>
      <c r="G230" s="3" t="str">
        <f t="shared" si="6"/>
        <v>2025-02</v>
      </c>
      <c r="H230" s="26">
        <f t="shared" si="7"/>
        <v>0.73170731707317072</v>
      </c>
    </row>
    <row r="231" spans="1:8" ht="17.399999999999999">
      <c r="A231" s="25">
        <v>45715</v>
      </c>
      <c r="B231" s="3" t="s">
        <v>8</v>
      </c>
      <c r="C231" s="3" t="s">
        <v>237</v>
      </c>
      <c r="D231" s="3">
        <v>66</v>
      </c>
      <c r="E231" s="3">
        <v>66</v>
      </c>
      <c r="F231" s="3">
        <v>0</v>
      </c>
      <c r="G231" s="3" t="str">
        <f t="shared" si="6"/>
        <v>2025-02</v>
      </c>
      <c r="H231" s="26">
        <f t="shared" si="7"/>
        <v>1</v>
      </c>
    </row>
    <row r="232" spans="1:8" ht="17.399999999999999">
      <c r="A232" s="25">
        <v>45715</v>
      </c>
      <c r="B232" s="3" t="s">
        <v>10</v>
      </c>
      <c r="C232" s="3" t="s">
        <v>238</v>
      </c>
      <c r="D232" s="3">
        <v>39</v>
      </c>
      <c r="E232" s="3">
        <v>33</v>
      </c>
      <c r="F232" s="3">
        <v>6</v>
      </c>
      <c r="G232" s="3" t="str">
        <f t="shared" si="6"/>
        <v>2025-02</v>
      </c>
      <c r="H232" s="26">
        <f t="shared" si="7"/>
        <v>0.84615384615384615</v>
      </c>
    </row>
    <row r="233" spans="1:8" ht="17.399999999999999">
      <c r="A233" s="25">
        <v>45715</v>
      </c>
      <c r="B233" s="3" t="s">
        <v>12</v>
      </c>
      <c r="C233" s="3" t="s">
        <v>239</v>
      </c>
      <c r="D233" s="3">
        <v>86</v>
      </c>
      <c r="E233" s="3">
        <v>80</v>
      </c>
      <c r="F233" s="3">
        <v>6</v>
      </c>
      <c r="G233" s="3" t="str">
        <f t="shared" si="6"/>
        <v>2025-02</v>
      </c>
      <c r="H233" s="26">
        <f t="shared" si="7"/>
        <v>0.93023255813953487</v>
      </c>
    </row>
    <row r="234" spans="1:8" ht="17.399999999999999">
      <c r="A234" s="25">
        <v>45716</v>
      </c>
      <c r="B234" s="3" t="s">
        <v>6</v>
      </c>
      <c r="C234" s="3" t="s">
        <v>240</v>
      </c>
      <c r="D234" s="3">
        <v>98</v>
      </c>
      <c r="E234" s="3">
        <v>93</v>
      </c>
      <c r="F234" s="3">
        <v>5</v>
      </c>
      <c r="G234" s="3" t="str">
        <f t="shared" si="6"/>
        <v>2025-02</v>
      </c>
      <c r="H234" s="26">
        <f t="shared" si="7"/>
        <v>0.94897959183673475</v>
      </c>
    </row>
    <row r="235" spans="1:8" ht="17.399999999999999">
      <c r="A235" s="25">
        <v>45716</v>
      </c>
      <c r="B235" s="3" t="s">
        <v>8</v>
      </c>
      <c r="C235" s="3" t="s">
        <v>241</v>
      </c>
      <c r="D235" s="3">
        <v>81</v>
      </c>
      <c r="E235" s="3">
        <v>70</v>
      </c>
      <c r="F235" s="3">
        <v>11</v>
      </c>
      <c r="G235" s="3" t="str">
        <f t="shared" si="6"/>
        <v>2025-02</v>
      </c>
      <c r="H235" s="26">
        <f t="shared" si="7"/>
        <v>0.86419753086419748</v>
      </c>
    </row>
    <row r="236" spans="1:8" ht="17.399999999999999">
      <c r="A236" s="25">
        <v>45716</v>
      </c>
      <c r="B236" s="3" t="s">
        <v>10</v>
      </c>
      <c r="C236" s="3" t="s">
        <v>242</v>
      </c>
      <c r="D236" s="3">
        <v>95</v>
      </c>
      <c r="E236" s="3">
        <v>74</v>
      </c>
      <c r="F236" s="3">
        <v>21</v>
      </c>
      <c r="G236" s="3" t="str">
        <f t="shared" si="6"/>
        <v>2025-02</v>
      </c>
      <c r="H236" s="26">
        <f t="shared" si="7"/>
        <v>0.77894736842105261</v>
      </c>
    </row>
    <row r="237" spans="1:8" ht="17.399999999999999">
      <c r="A237" s="25">
        <v>45716</v>
      </c>
      <c r="B237" s="3" t="s">
        <v>12</v>
      </c>
      <c r="C237" s="3" t="s">
        <v>243</v>
      </c>
      <c r="D237" s="3">
        <v>51</v>
      </c>
      <c r="E237" s="3">
        <v>37</v>
      </c>
      <c r="F237" s="3">
        <v>14</v>
      </c>
      <c r="G237" s="3" t="str">
        <f t="shared" si="6"/>
        <v>2025-02</v>
      </c>
      <c r="H237" s="26">
        <f t="shared" si="7"/>
        <v>0.72549019607843135</v>
      </c>
    </row>
    <row r="238" spans="1:8" ht="17.399999999999999">
      <c r="A238" s="25">
        <v>45717</v>
      </c>
      <c r="B238" s="3" t="s">
        <v>6</v>
      </c>
      <c r="C238" s="3" t="s">
        <v>244</v>
      </c>
      <c r="D238" s="3">
        <v>77</v>
      </c>
      <c r="E238" s="3">
        <v>60</v>
      </c>
      <c r="F238" s="3">
        <v>17</v>
      </c>
      <c r="G238" s="3" t="str">
        <f t="shared" si="6"/>
        <v>2025-03</v>
      </c>
      <c r="H238" s="26">
        <f t="shared" si="7"/>
        <v>0.77922077922077926</v>
      </c>
    </row>
    <row r="239" spans="1:8" ht="17.399999999999999">
      <c r="A239" s="25">
        <v>45717</v>
      </c>
      <c r="B239" s="3" t="s">
        <v>8</v>
      </c>
      <c r="C239" s="3" t="s">
        <v>245</v>
      </c>
      <c r="D239" s="3">
        <v>92</v>
      </c>
      <c r="E239" s="3">
        <v>83</v>
      </c>
      <c r="F239" s="3">
        <v>9</v>
      </c>
      <c r="G239" s="3" t="str">
        <f t="shared" si="6"/>
        <v>2025-03</v>
      </c>
      <c r="H239" s="26">
        <f t="shared" si="7"/>
        <v>0.90217391304347827</v>
      </c>
    </row>
    <row r="240" spans="1:8" ht="17.399999999999999">
      <c r="A240" s="25">
        <v>45717</v>
      </c>
      <c r="B240" s="3" t="s">
        <v>10</v>
      </c>
      <c r="C240" s="3" t="s">
        <v>246</v>
      </c>
      <c r="D240" s="3">
        <v>63</v>
      </c>
      <c r="E240" s="3">
        <v>44</v>
      </c>
      <c r="F240" s="3">
        <v>19</v>
      </c>
      <c r="G240" s="3" t="str">
        <f t="shared" si="6"/>
        <v>2025-03</v>
      </c>
      <c r="H240" s="26">
        <f t="shared" si="7"/>
        <v>0.69841269841269837</v>
      </c>
    </row>
    <row r="241" spans="1:8" ht="17.399999999999999">
      <c r="A241" s="25">
        <v>45717</v>
      </c>
      <c r="B241" s="3" t="s">
        <v>12</v>
      </c>
      <c r="C241" s="3" t="s">
        <v>247</v>
      </c>
      <c r="D241" s="3">
        <v>61</v>
      </c>
      <c r="E241" s="3">
        <v>47</v>
      </c>
      <c r="F241" s="3">
        <v>14</v>
      </c>
      <c r="G241" s="3" t="str">
        <f t="shared" si="6"/>
        <v>2025-03</v>
      </c>
      <c r="H241" s="26">
        <f t="shared" si="7"/>
        <v>0.77049180327868849</v>
      </c>
    </row>
    <row r="242" spans="1:8" ht="17.399999999999999">
      <c r="A242" s="25">
        <v>45718</v>
      </c>
      <c r="B242" s="3" t="s">
        <v>6</v>
      </c>
      <c r="C242" s="3" t="s">
        <v>248</v>
      </c>
      <c r="D242" s="3">
        <v>47</v>
      </c>
      <c r="E242" s="3">
        <v>43</v>
      </c>
      <c r="F242" s="3">
        <v>4</v>
      </c>
      <c r="G242" s="3" t="str">
        <f t="shared" si="6"/>
        <v>2025-03</v>
      </c>
      <c r="H242" s="26">
        <f t="shared" si="7"/>
        <v>0.91489361702127658</v>
      </c>
    </row>
    <row r="243" spans="1:8" ht="17.399999999999999">
      <c r="A243" s="25">
        <v>45718</v>
      </c>
      <c r="B243" s="3" t="s">
        <v>8</v>
      </c>
      <c r="C243" s="3" t="s">
        <v>249</v>
      </c>
      <c r="D243" s="3">
        <v>63</v>
      </c>
      <c r="E243" s="3">
        <v>52</v>
      </c>
      <c r="F243" s="3">
        <v>11</v>
      </c>
      <c r="G243" s="3" t="str">
        <f t="shared" si="6"/>
        <v>2025-03</v>
      </c>
      <c r="H243" s="26">
        <f t="shared" si="7"/>
        <v>0.82539682539682535</v>
      </c>
    </row>
    <row r="244" spans="1:8" ht="17.399999999999999">
      <c r="A244" s="25">
        <v>45718</v>
      </c>
      <c r="B244" s="3" t="s">
        <v>10</v>
      </c>
      <c r="C244" s="3" t="s">
        <v>250</v>
      </c>
      <c r="D244" s="3">
        <v>91</v>
      </c>
      <c r="E244" s="3">
        <v>63</v>
      </c>
      <c r="F244" s="3">
        <v>28</v>
      </c>
      <c r="G244" s="3" t="str">
        <f t="shared" si="6"/>
        <v>2025-03</v>
      </c>
      <c r="H244" s="26">
        <f t="shared" si="7"/>
        <v>0.69230769230769229</v>
      </c>
    </row>
    <row r="245" spans="1:8" ht="17.399999999999999">
      <c r="A245" s="25">
        <v>45718</v>
      </c>
      <c r="B245" s="3" t="s">
        <v>12</v>
      </c>
      <c r="C245" s="3" t="s">
        <v>251</v>
      </c>
      <c r="D245" s="3">
        <v>44</v>
      </c>
      <c r="E245" s="3">
        <v>31</v>
      </c>
      <c r="F245" s="3">
        <v>13</v>
      </c>
      <c r="G245" s="3" t="str">
        <f t="shared" si="6"/>
        <v>2025-03</v>
      </c>
      <c r="H245" s="26">
        <f t="shared" si="7"/>
        <v>0.70454545454545459</v>
      </c>
    </row>
    <row r="246" spans="1:8" ht="17.399999999999999">
      <c r="A246" s="25">
        <v>45719</v>
      </c>
      <c r="B246" s="3" t="s">
        <v>6</v>
      </c>
      <c r="C246" s="3" t="s">
        <v>252</v>
      </c>
      <c r="D246" s="3">
        <v>72</v>
      </c>
      <c r="E246" s="3">
        <v>65</v>
      </c>
      <c r="F246" s="3">
        <v>7</v>
      </c>
      <c r="G246" s="3" t="str">
        <f t="shared" si="6"/>
        <v>2025-03</v>
      </c>
      <c r="H246" s="26">
        <f t="shared" si="7"/>
        <v>0.90277777777777779</v>
      </c>
    </row>
    <row r="247" spans="1:8" ht="17.399999999999999">
      <c r="A247" s="25">
        <v>45719</v>
      </c>
      <c r="B247" s="3" t="s">
        <v>8</v>
      </c>
      <c r="C247" s="3" t="s">
        <v>253</v>
      </c>
      <c r="D247" s="3">
        <v>80</v>
      </c>
      <c r="E247" s="3">
        <v>76</v>
      </c>
      <c r="F247" s="3">
        <v>4</v>
      </c>
      <c r="G247" s="3" t="str">
        <f t="shared" si="6"/>
        <v>2025-03</v>
      </c>
      <c r="H247" s="26">
        <f t="shared" si="7"/>
        <v>0.95</v>
      </c>
    </row>
    <row r="248" spans="1:8" ht="17.399999999999999">
      <c r="A248" s="25">
        <v>45719</v>
      </c>
      <c r="B248" s="3" t="s">
        <v>10</v>
      </c>
      <c r="C248" s="3" t="s">
        <v>254</v>
      </c>
      <c r="D248" s="3">
        <v>77</v>
      </c>
      <c r="E248" s="3">
        <v>53</v>
      </c>
      <c r="F248" s="3">
        <v>24</v>
      </c>
      <c r="G248" s="3" t="str">
        <f t="shared" si="6"/>
        <v>2025-03</v>
      </c>
      <c r="H248" s="26">
        <f t="shared" si="7"/>
        <v>0.68831168831168832</v>
      </c>
    </row>
    <row r="249" spans="1:8" ht="17.399999999999999">
      <c r="A249" s="25">
        <v>45719</v>
      </c>
      <c r="B249" s="3" t="s">
        <v>12</v>
      </c>
      <c r="C249" s="3" t="s">
        <v>255</v>
      </c>
      <c r="D249" s="3">
        <v>57</v>
      </c>
      <c r="E249" s="3">
        <v>46</v>
      </c>
      <c r="F249" s="3">
        <v>11</v>
      </c>
      <c r="G249" s="3" t="str">
        <f t="shared" si="6"/>
        <v>2025-03</v>
      </c>
      <c r="H249" s="26">
        <f t="shared" si="7"/>
        <v>0.80701754385964908</v>
      </c>
    </row>
    <row r="250" spans="1:8" ht="17.399999999999999">
      <c r="A250" s="25">
        <v>45720</v>
      </c>
      <c r="B250" s="3" t="s">
        <v>6</v>
      </c>
      <c r="C250" s="3" t="s">
        <v>256</v>
      </c>
      <c r="D250" s="3">
        <v>51</v>
      </c>
      <c r="E250" s="3">
        <v>44</v>
      </c>
      <c r="F250" s="3">
        <v>7</v>
      </c>
      <c r="G250" s="3" t="str">
        <f t="shared" si="6"/>
        <v>2025-03</v>
      </c>
      <c r="H250" s="26">
        <f t="shared" si="7"/>
        <v>0.86274509803921573</v>
      </c>
    </row>
    <row r="251" spans="1:8" ht="17.399999999999999">
      <c r="A251" s="25">
        <v>45720</v>
      </c>
      <c r="B251" s="3" t="s">
        <v>8</v>
      </c>
      <c r="C251" s="3" t="s">
        <v>257</v>
      </c>
      <c r="D251" s="3">
        <v>80</v>
      </c>
      <c r="E251" s="3">
        <v>73</v>
      </c>
      <c r="F251" s="3">
        <v>7</v>
      </c>
      <c r="G251" s="3" t="str">
        <f t="shared" si="6"/>
        <v>2025-03</v>
      </c>
      <c r="H251" s="26">
        <f t="shared" si="7"/>
        <v>0.91249999999999998</v>
      </c>
    </row>
    <row r="252" spans="1:8" ht="17.399999999999999">
      <c r="A252" s="25">
        <v>45720</v>
      </c>
      <c r="B252" s="3" t="s">
        <v>10</v>
      </c>
      <c r="C252" s="3" t="s">
        <v>258</v>
      </c>
      <c r="D252" s="3">
        <v>64</v>
      </c>
      <c r="E252" s="3">
        <v>57</v>
      </c>
      <c r="F252" s="3">
        <v>7</v>
      </c>
      <c r="G252" s="3" t="str">
        <f t="shared" si="6"/>
        <v>2025-03</v>
      </c>
      <c r="H252" s="26">
        <f t="shared" si="7"/>
        <v>0.890625</v>
      </c>
    </row>
    <row r="253" spans="1:8" ht="17.399999999999999">
      <c r="A253" s="25">
        <v>45720</v>
      </c>
      <c r="B253" s="3" t="s">
        <v>12</v>
      </c>
      <c r="C253" s="3" t="s">
        <v>259</v>
      </c>
      <c r="D253" s="3">
        <v>65</v>
      </c>
      <c r="E253" s="3">
        <v>59</v>
      </c>
      <c r="F253" s="3">
        <v>6</v>
      </c>
      <c r="G253" s="3" t="str">
        <f t="shared" si="6"/>
        <v>2025-03</v>
      </c>
      <c r="H253" s="26">
        <f t="shared" si="7"/>
        <v>0.90769230769230769</v>
      </c>
    </row>
    <row r="254" spans="1:8" ht="17.399999999999999">
      <c r="A254" s="25">
        <v>45721</v>
      </c>
      <c r="B254" s="3" t="s">
        <v>6</v>
      </c>
      <c r="C254" s="3" t="s">
        <v>260</v>
      </c>
      <c r="D254" s="3">
        <v>59</v>
      </c>
      <c r="E254" s="3">
        <v>49</v>
      </c>
      <c r="F254" s="3">
        <v>10</v>
      </c>
      <c r="G254" s="3" t="str">
        <f t="shared" si="6"/>
        <v>2025-03</v>
      </c>
      <c r="H254" s="26">
        <f t="shared" si="7"/>
        <v>0.83050847457627119</v>
      </c>
    </row>
    <row r="255" spans="1:8" ht="17.399999999999999">
      <c r="A255" s="25">
        <v>45721</v>
      </c>
      <c r="B255" s="3" t="s">
        <v>8</v>
      </c>
      <c r="C255" s="3" t="s">
        <v>261</v>
      </c>
      <c r="D255" s="3">
        <v>35</v>
      </c>
      <c r="E255" s="3">
        <v>35</v>
      </c>
      <c r="F255" s="3">
        <v>0</v>
      </c>
      <c r="G255" s="3" t="str">
        <f t="shared" si="6"/>
        <v>2025-03</v>
      </c>
      <c r="H255" s="26">
        <f t="shared" si="7"/>
        <v>1</v>
      </c>
    </row>
    <row r="256" spans="1:8" ht="17.399999999999999">
      <c r="A256" s="25">
        <v>45721</v>
      </c>
      <c r="B256" s="3" t="s">
        <v>10</v>
      </c>
      <c r="C256" s="3" t="s">
        <v>262</v>
      </c>
      <c r="D256" s="3">
        <v>60</v>
      </c>
      <c r="E256" s="3">
        <v>45</v>
      </c>
      <c r="F256" s="3">
        <v>15</v>
      </c>
      <c r="G256" s="3" t="str">
        <f t="shared" si="6"/>
        <v>2025-03</v>
      </c>
      <c r="H256" s="26">
        <f t="shared" si="7"/>
        <v>0.75</v>
      </c>
    </row>
    <row r="257" spans="1:8" ht="17.399999999999999">
      <c r="A257" s="25">
        <v>45721</v>
      </c>
      <c r="B257" s="3" t="s">
        <v>12</v>
      </c>
      <c r="C257" s="3" t="s">
        <v>263</v>
      </c>
      <c r="D257" s="3">
        <v>43</v>
      </c>
      <c r="E257" s="3">
        <v>33</v>
      </c>
      <c r="F257" s="3">
        <v>10</v>
      </c>
      <c r="G257" s="3" t="str">
        <f t="shared" si="6"/>
        <v>2025-03</v>
      </c>
      <c r="H257" s="26">
        <f t="shared" si="7"/>
        <v>0.76744186046511631</v>
      </c>
    </row>
    <row r="258" spans="1:8" ht="17.399999999999999">
      <c r="A258" s="25">
        <v>45722</v>
      </c>
      <c r="B258" s="3" t="s">
        <v>6</v>
      </c>
      <c r="C258" s="3" t="s">
        <v>264</v>
      </c>
      <c r="D258" s="3">
        <v>81</v>
      </c>
      <c r="E258" s="3">
        <v>64</v>
      </c>
      <c r="F258" s="3">
        <v>17</v>
      </c>
      <c r="G258" s="3" t="str">
        <f t="shared" si="6"/>
        <v>2025-03</v>
      </c>
      <c r="H258" s="26">
        <f t="shared" si="7"/>
        <v>0.79012345679012341</v>
      </c>
    </row>
    <row r="259" spans="1:8" ht="17.399999999999999">
      <c r="A259" s="25">
        <v>45722</v>
      </c>
      <c r="B259" s="3" t="s">
        <v>8</v>
      </c>
      <c r="C259" s="3" t="s">
        <v>265</v>
      </c>
      <c r="D259" s="3">
        <v>96</v>
      </c>
      <c r="E259" s="3">
        <v>76</v>
      </c>
      <c r="F259" s="3">
        <v>20</v>
      </c>
      <c r="G259" s="3" t="str">
        <f t="shared" ref="G259:G322" si="8">TEXT(A259,"yyyy-mm")</f>
        <v>2025-03</v>
      </c>
      <c r="H259" s="26">
        <f t="shared" ref="H259:H322" si="9">E259/D259</f>
        <v>0.79166666666666663</v>
      </c>
    </row>
    <row r="260" spans="1:8" ht="17.399999999999999">
      <c r="A260" s="25">
        <v>45722</v>
      </c>
      <c r="B260" s="3" t="s">
        <v>10</v>
      </c>
      <c r="C260" s="3" t="s">
        <v>266</v>
      </c>
      <c r="D260" s="3">
        <v>44</v>
      </c>
      <c r="E260" s="3">
        <v>34</v>
      </c>
      <c r="F260" s="3">
        <v>10</v>
      </c>
      <c r="G260" s="3" t="str">
        <f t="shared" si="8"/>
        <v>2025-03</v>
      </c>
      <c r="H260" s="26">
        <f t="shared" si="9"/>
        <v>0.77272727272727271</v>
      </c>
    </row>
    <row r="261" spans="1:8" ht="17.399999999999999">
      <c r="A261" s="25">
        <v>45722</v>
      </c>
      <c r="B261" s="3" t="s">
        <v>12</v>
      </c>
      <c r="C261" s="3" t="s">
        <v>267</v>
      </c>
      <c r="D261" s="3">
        <v>66</v>
      </c>
      <c r="E261" s="3">
        <v>51</v>
      </c>
      <c r="F261" s="3">
        <v>15</v>
      </c>
      <c r="G261" s="3" t="str">
        <f t="shared" si="8"/>
        <v>2025-03</v>
      </c>
      <c r="H261" s="26">
        <f t="shared" si="9"/>
        <v>0.77272727272727271</v>
      </c>
    </row>
    <row r="262" spans="1:8" ht="17.399999999999999">
      <c r="A262" s="25">
        <v>45723</v>
      </c>
      <c r="B262" s="3" t="s">
        <v>6</v>
      </c>
      <c r="C262" s="3" t="s">
        <v>268</v>
      </c>
      <c r="D262" s="3">
        <v>21</v>
      </c>
      <c r="E262" s="3">
        <v>16</v>
      </c>
      <c r="F262" s="3">
        <v>5</v>
      </c>
      <c r="G262" s="3" t="str">
        <f t="shared" si="8"/>
        <v>2025-03</v>
      </c>
      <c r="H262" s="26">
        <f t="shared" si="9"/>
        <v>0.76190476190476186</v>
      </c>
    </row>
    <row r="263" spans="1:8" ht="17.399999999999999">
      <c r="A263" s="25">
        <v>45723</v>
      </c>
      <c r="B263" s="3" t="s">
        <v>8</v>
      </c>
      <c r="C263" s="3" t="s">
        <v>269</v>
      </c>
      <c r="D263" s="3">
        <v>25</v>
      </c>
      <c r="E263" s="3">
        <v>17</v>
      </c>
      <c r="F263" s="3">
        <v>8</v>
      </c>
      <c r="G263" s="3" t="str">
        <f t="shared" si="8"/>
        <v>2025-03</v>
      </c>
      <c r="H263" s="26">
        <f t="shared" si="9"/>
        <v>0.68</v>
      </c>
    </row>
    <row r="264" spans="1:8" ht="17.399999999999999">
      <c r="A264" s="25">
        <v>45723</v>
      </c>
      <c r="B264" s="3" t="s">
        <v>10</v>
      </c>
      <c r="C264" s="3" t="s">
        <v>270</v>
      </c>
      <c r="D264" s="3">
        <v>36</v>
      </c>
      <c r="E264" s="3">
        <v>35</v>
      </c>
      <c r="F264" s="3">
        <v>1</v>
      </c>
      <c r="G264" s="3" t="str">
        <f t="shared" si="8"/>
        <v>2025-03</v>
      </c>
      <c r="H264" s="26">
        <f t="shared" si="9"/>
        <v>0.97222222222222221</v>
      </c>
    </row>
    <row r="265" spans="1:8" ht="17.399999999999999">
      <c r="A265" s="25">
        <v>45723</v>
      </c>
      <c r="B265" s="3" t="s">
        <v>12</v>
      </c>
      <c r="C265" s="3" t="s">
        <v>271</v>
      </c>
      <c r="D265" s="3">
        <v>33</v>
      </c>
      <c r="E265" s="3">
        <v>23</v>
      </c>
      <c r="F265" s="3">
        <v>10</v>
      </c>
      <c r="G265" s="3" t="str">
        <f t="shared" si="8"/>
        <v>2025-03</v>
      </c>
      <c r="H265" s="26">
        <f t="shared" si="9"/>
        <v>0.69696969696969702</v>
      </c>
    </row>
    <row r="266" spans="1:8" ht="17.399999999999999">
      <c r="A266" s="25">
        <v>45724</v>
      </c>
      <c r="B266" s="3" t="s">
        <v>6</v>
      </c>
      <c r="C266" s="3" t="s">
        <v>272</v>
      </c>
      <c r="D266" s="3">
        <v>80</v>
      </c>
      <c r="E266" s="3">
        <v>71</v>
      </c>
      <c r="F266" s="3">
        <v>9</v>
      </c>
      <c r="G266" s="3" t="str">
        <f t="shared" si="8"/>
        <v>2025-03</v>
      </c>
      <c r="H266" s="26">
        <f t="shared" si="9"/>
        <v>0.88749999999999996</v>
      </c>
    </row>
    <row r="267" spans="1:8" ht="17.399999999999999">
      <c r="A267" s="25">
        <v>45724</v>
      </c>
      <c r="B267" s="3" t="s">
        <v>8</v>
      </c>
      <c r="C267" s="3" t="s">
        <v>273</v>
      </c>
      <c r="D267" s="3">
        <v>63</v>
      </c>
      <c r="E267" s="3">
        <v>49</v>
      </c>
      <c r="F267" s="3">
        <v>14</v>
      </c>
      <c r="G267" s="3" t="str">
        <f t="shared" si="8"/>
        <v>2025-03</v>
      </c>
      <c r="H267" s="26">
        <f t="shared" si="9"/>
        <v>0.77777777777777779</v>
      </c>
    </row>
    <row r="268" spans="1:8" ht="17.399999999999999">
      <c r="A268" s="25">
        <v>45724</v>
      </c>
      <c r="B268" s="3" t="s">
        <v>10</v>
      </c>
      <c r="C268" s="3" t="s">
        <v>274</v>
      </c>
      <c r="D268" s="3">
        <v>52</v>
      </c>
      <c r="E268" s="3">
        <v>51</v>
      </c>
      <c r="F268" s="3">
        <v>1</v>
      </c>
      <c r="G268" s="3" t="str">
        <f t="shared" si="8"/>
        <v>2025-03</v>
      </c>
      <c r="H268" s="26">
        <f t="shared" si="9"/>
        <v>0.98076923076923073</v>
      </c>
    </row>
    <row r="269" spans="1:8" ht="17.399999999999999">
      <c r="A269" s="25">
        <v>45724</v>
      </c>
      <c r="B269" s="3" t="s">
        <v>12</v>
      </c>
      <c r="C269" s="3" t="s">
        <v>275</v>
      </c>
      <c r="D269" s="3">
        <v>28</v>
      </c>
      <c r="E269" s="3">
        <v>25</v>
      </c>
      <c r="F269" s="3">
        <v>3</v>
      </c>
      <c r="G269" s="3" t="str">
        <f t="shared" si="8"/>
        <v>2025-03</v>
      </c>
      <c r="H269" s="26">
        <f t="shared" si="9"/>
        <v>0.8928571428571429</v>
      </c>
    </row>
    <row r="270" spans="1:8" ht="17.399999999999999">
      <c r="A270" s="25">
        <v>45725</v>
      </c>
      <c r="B270" s="3" t="s">
        <v>6</v>
      </c>
      <c r="C270" s="3" t="s">
        <v>276</v>
      </c>
      <c r="D270" s="3">
        <v>29</v>
      </c>
      <c r="E270" s="3">
        <v>29</v>
      </c>
      <c r="F270" s="3">
        <v>0</v>
      </c>
      <c r="G270" s="3" t="str">
        <f t="shared" si="8"/>
        <v>2025-03</v>
      </c>
      <c r="H270" s="26">
        <f t="shared" si="9"/>
        <v>1</v>
      </c>
    </row>
    <row r="271" spans="1:8" ht="17.399999999999999">
      <c r="A271" s="25">
        <v>45725</v>
      </c>
      <c r="B271" s="3" t="s">
        <v>8</v>
      </c>
      <c r="C271" s="3" t="s">
        <v>277</v>
      </c>
      <c r="D271" s="3">
        <v>39</v>
      </c>
      <c r="E271" s="3">
        <v>29</v>
      </c>
      <c r="F271" s="3">
        <v>10</v>
      </c>
      <c r="G271" s="3" t="str">
        <f t="shared" si="8"/>
        <v>2025-03</v>
      </c>
      <c r="H271" s="26">
        <f t="shared" si="9"/>
        <v>0.74358974358974361</v>
      </c>
    </row>
    <row r="272" spans="1:8" ht="17.399999999999999">
      <c r="A272" s="25">
        <v>45725</v>
      </c>
      <c r="B272" s="3" t="s">
        <v>10</v>
      </c>
      <c r="C272" s="3" t="s">
        <v>278</v>
      </c>
      <c r="D272" s="3">
        <v>30</v>
      </c>
      <c r="E272" s="3">
        <v>24</v>
      </c>
      <c r="F272" s="3">
        <v>6</v>
      </c>
      <c r="G272" s="3" t="str">
        <f t="shared" si="8"/>
        <v>2025-03</v>
      </c>
      <c r="H272" s="26">
        <f t="shared" si="9"/>
        <v>0.8</v>
      </c>
    </row>
    <row r="273" spans="1:8" ht="17.399999999999999">
      <c r="A273" s="25">
        <v>45725</v>
      </c>
      <c r="B273" s="3" t="s">
        <v>12</v>
      </c>
      <c r="C273" s="3" t="s">
        <v>279</v>
      </c>
      <c r="D273" s="3">
        <v>91</v>
      </c>
      <c r="E273" s="3">
        <v>87</v>
      </c>
      <c r="F273" s="3">
        <v>4</v>
      </c>
      <c r="G273" s="3" t="str">
        <f t="shared" si="8"/>
        <v>2025-03</v>
      </c>
      <c r="H273" s="26">
        <f t="shared" si="9"/>
        <v>0.95604395604395609</v>
      </c>
    </row>
    <row r="274" spans="1:8" ht="17.399999999999999">
      <c r="A274" s="25">
        <v>45726</v>
      </c>
      <c r="B274" s="3" t="s">
        <v>6</v>
      </c>
      <c r="C274" s="3" t="s">
        <v>280</v>
      </c>
      <c r="D274" s="3">
        <v>97</v>
      </c>
      <c r="E274" s="3">
        <v>86</v>
      </c>
      <c r="F274" s="3">
        <v>11</v>
      </c>
      <c r="G274" s="3" t="str">
        <f t="shared" si="8"/>
        <v>2025-03</v>
      </c>
      <c r="H274" s="26">
        <f t="shared" si="9"/>
        <v>0.88659793814432986</v>
      </c>
    </row>
    <row r="275" spans="1:8" ht="17.399999999999999">
      <c r="A275" s="25">
        <v>45726</v>
      </c>
      <c r="B275" s="3" t="s">
        <v>8</v>
      </c>
      <c r="C275" s="3" t="s">
        <v>281</v>
      </c>
      <c r="D275" s="3">
        <v>86</v>
      </c>
      <c r="E275" s="3">
        <v>72</v>
      </c>
      <c r="F275" s="3">
        <v>14</v>
      </c>
      <c r="G275" s="3" t="str">
        <f t="shared" si="8"/>
        <v>2025-03</v>
      </c>
      <c r="H275" s="26">
        <f t="shared" si="9"/>
        <v>0.83720930232558144</v>
      </c>
    </row>
    <row r="276" spans="1:8" ht="17.399999999999999">
      <c r="A276" s="25">
        <v>45726</v>
      </c>
      <c r="B276" s="3" t="s">
        <v>10</v>
      </c>
      <c r="C276" s="3" t="s">
        <v>282</v>
      </c>
      <c r="D276" s="3">
        <v>76</v>
      </c>
      <c r="E276" s="3">
        <v>62</v>
      </c>
      <c r="F276" s="3">
        <v>14</v>
      </c>
      <c r="G276" s="3" t="str">
        <f t="shared" si="8"/>
        <v>2025-03</v>
      </c>
      <c r="H276" s="26">
        <f t="shared" si="9"/>
        <v>0.81578947368421051</v>
      </c>
    </row>
    <row r="277" spans="1:8" ht="17.399999999999999">
      <c r="A277" s="25">
        <v>45726</v>
      </c>
      <c r="B277" s="3" t="s">
        <v>12</v>
      </c>
      <c r="C277" s="3" t="s">
        <v>283</v>
      </c>
      <c r="D277" s="3">
        <v>59</v>
      </c>
      <c r="E277" s="3">
        <v>59</v>
      </c>
      <c r="F277" s="3">
        <v>0</v>
      </c>
      <c r="G277" s="3" t="str">
        <f t="shared" si="8"/>
        <v>2025-03</v>
      </c>
      <c r="H277" s="26">
        <f t="shared" si="9"/>
        <v>1</v>
      </c>
    </row>
    <row r="278" spans="1:8" ht="17.399999999999999">
      <c r="A278" s="25">
        <v>45727</v>
      </c>
      <c r="B278" s="3" t="s">
        <v>6</v>
      </c>
      <c r="C278" s="3" t="s">
        <v>284</v>
      </c>
      <c r="D278" s="3">
        <v>98</v>
      </c>
      <c r="E278" s="3">
        <v>98</v>
      </c>
      <c r="F278" s="3">
        <v>0</v>
      </c>
      <c r="G278" s="3" t="str">
        <f t="shared" si="8"/>
        <v>2025-03</v>
      </c>
      <c r="H278" s="26">
        <f t="shared" si="9"/>
        <v>1</v>
      </c>
    </row>
    <row r="279" spans="1:8" ht="17.399999999999999">
      <c r="A279" s="25">
        <v>45727</v>
      </c>
      <c r="B279" s="3" t="s">
        <v>8</v>
      </c>
      <c r="C279" s="3" t="s">
        <v>285</v>
      </c>
      <c r="D279" s="3">
        <v>46</v>
      </c>
      <c r="E279" s="3">
        <v>42</v>
      </c>
      <c r="F279" s="3">
        <v>4</v>
      </c>
      <c r="G279" s="3" t="str">
        <f t="shared" si="8"/>
        <v>2025-03</v>
      </c>
      <c r="H279" s="26">
        <f t="shared" si="9"/>
        <v>0.91304347826086951</v>
      </c>
    </row>
    <row r="280" spans="1:8" ht="17.399999999999999">
      <c r="A280" s="25">
        <v>45727</v>
      </c>
      <c r="B280" s="3" t="s">
        <v>10</v>
      </c>
      <c r="C280" s="3" t="s">
        <v>286</v>
      </c>
      <c r="D280" s="3">
        <v>53</v>
      </c>
      <c r="E280" s="3">
        <v>39</v>
      </c>
      <c r="F280" s="3">
        <v>14</v>
      </c>
      <c r="G280" s="3" t="str">
        <f t="shared" si="8"/>
        <v>2025-03</v>
      </c>
      <c r="H280" s="26">
        <f t="shared" si="9"/>
        <v>0.73584905660377353</v>
      </c>
    </row>
    <row r="281" spans="1:8" ht="17.399999999999999">
      <c r="A281" s="25">
        <v>45727</v>
      </c>
      <c r="B281" s="3" t="s">
        <v>12</v>
      </c>
      <c r="C281" s="3" t="s">
        <v>287</v>
      </c>
      <c r="D281" s="3">
        <v>50</v>
      </c>
      <c r="E281" s="3">
        <v>40</v>
      </c>
      <c r="F281" s="3">
        <v>10</v>
      </c>
      <c r="G281" s="3" t="str">
        <f t="shared" si="8"/>
        <v>2025-03</v>
      </c>
      <c r="H281" s="26">
        <f t="shared" si="9"/>
        <v>0.8</v>
      </c>
    </row>
    <row r="282" spans="1:8" ht="17.399999999999999">
      <c r="A282" s="25">
        <v>45728</v>
      </c>
      <c r="B282" s="3" t="s">
        <v>6</v>
      </c>
      <c r="C282" s="3" t="s">
        <v>288</v>
      </c>
      <c r="D282" s="3">
        <v>40</v>
      </c>
      <c r="E282" s="3">
        <v>28</v>
      </c>
      <c r="F282" s="3">
        <v>12</v>
      </c>
      <c r="G282" s="3" t="str">
        <f t="shared" si="8"/>
        <v>2025-03</v>
      </c>
      <c r="H282" s="26">
        <f t="shared" si="9"/>
        <v>0.7</v>
      </c>
    </row>
    <row r="283" spans="1:8" ht="17.399999999999999">
      <c r="A283" s="25">
        <v>45728</v>
      </c>
      <c r="B283" s="3" t="s">
        <v>8</v>
      </c>
      <c r="C283" s="3" t="s">
        <v>289</v>
      </c>
      <c r="D283" s="3">
        <v>77</v>
      </c>
      <c r="E283" s="3">
        <v>75</v>
      </c>
      <c r="F283" s="3">
        <v>2</v>
      </c>
      <c r="G283" s="3" t="str">
        <f t="shared" si="8"/>
        <v>2025-03</v>
      </c>
      <c r="H283" s="26">
        <f t="shared" si="9"/>
        <v>0.97402597402597402</v>
      </c>
    </row>
    <row r="284" spans="1:8" ht="17.399999999999999">
      <c r="A284" s="25">
        <v>45728</v>
      </c>
      <c r="B284" s="3" t="s">
        <v>10</v>
      </c>
      <c r="C284" s="3" t="s">
        <v>290</v>
      </c>
      <c r="D284" s="3">
        <v>57</v>
      </c>
      <c r="E284" s="3">
        <v>40</v>
      </c>
      <c r="F284" s="3">
        <v>17</v>
      </c>
      <c r="G284" s="3" t="str">
        <f t="shared" si="8"/>
        <v>2025-03</v>
      </c>
      <c r="H284" s="26">
        <f t="shared" si="9"/>
        <v>0.70175438596491224</v>
      </c>
    </row>
    <row r="285" spans="1:8" ht="17.399999999999999">
      <c r="A285" s="25">
        <v>45728</v>
      </c>
      <c r="B285" s="3" t="s">
        <v>12</v>
      </c>
      <c r="C285" s="3" t="s">
        <v>291</v>
      </c>
      <c r="D285" s="3">
        <v>56</v>
      </c>
      <c r="E285" s="3">
        <v>48</v>
      </c>
      <c r="F285" s="3">
        <v>8</v>
      </c>
      <c r="G285" s="3" t="str">
        <f t="shared" si="8"/>
        <v>2025-03</v>
      </c>
      <c r="H285" s="26">
        <f t="shared" si="9"/>
        <v>0.8571428571428571</v>
      </c>
    </row>
    <row r="286" spans="1:8" ht="17.399999999999999">
      <c r="A286" s="25">
        <v>45729</v>
      </c>
      <c r="B286" s="3" t="s">
        <v>6</v>
      </c>
      <c r="C286" s="3" t="s">
        <v>292</v>
      </c>
      <c r="D286" s="3">
        <v>29</v>
      </c>
      <c r="E286" s="3">
        <v>23</v>
      </c>
      <c r="F286" s="3">
        <v>6</v>
      </c>
      <c r="G286" s="3" t="str">
        <f t="shared" si="8"/>
        <v>2025-03</v>
      </c>
      <c r="H286" s="26">
        <f t="shared" si="9"/>
        <v>0.7931034482758621</v>
      </c>
    </row>
    <row r="287" spans="1:8" ht="17.399999999999999">
      <c r="A287" s="25">
        <v>45729</v>
      </c>
      <c r="B287" s="3" t="s">
        <v>8</v>
      </c>
      <c r="C287" s="3" t="s">
        <v>293</v>
      </c>
      <c r="D287" s="3">
        <v>100</v>
      </c>
      <c r="E287" s="3">
        <v>88</v>
      </c>
      <c r="F287" s="3">
        <v>12</v>
      </c>
      <c r="G287" s="3" t="str">
        <f t="shared" si="8"/>
        <v>2025-03</v>
      </c>
      <c r="H287" s="26">
        <f t="shared" si="9"/>
        <v>0.88</v>
      </c>
    </row>
    <row r="288" spans="1:8" ht="17.399999999999999">
      <c r="A288" s="25">
        <v>45729</v>
      </c>
      <c r="B288" s="3" t="s">
        <v>10</v>
      </c>
      <c r="C288" s="3" t="s">
        <v>294</v>
      </c>
      <c r="D288" s="3">
        <v>74</v>
      </c>
      <c r="E288" s="3">
        <v>54</v>
      </c>
      <c r="F288" s="3">
        <v>20</v>
      </c>
      <c r="G288" s="3" t="str">
        <f t="shared" si="8"/>
        <v>2025-03</v>
      </c>
      <c r="H288" s="26">
        <f t="shared" si="9"/>
        <v>0.72972972972972971</v>
      </c>
    </row>
    <row r="289" spans="1:8" ht="17.399999999999999">
      <c r="A289" s="25">
        <v>45729</v>
      </c>
      <c r="B289" s="3" t="s">
        <v>12</v>
      </c>
      <c r="C289" s="3" t="s">
        <v>295</v>
      </c>
      <c r="D289" s="3">
        <v>48</v>
      </c>
      <c r="E289" s="3">
        <v>37</v>
      </c>
      <c r="F289" s="3">
        <v>11</v>
      </c>
      <c r="G289" s="3" t="str">
        <f t="shared" si="8"/>
        <v>2025-03</v>
      </c>
      <c r="H289" s="26">
        <f t="shared" si="9"/>
        <v>0.77083333333333337</v>
      </c>
    </row>
    <row r="290" spans="1:8" ht="17.399999999999999">
      <c r="A290" s="25">
        <v>45730</v>
      </c>
      <c r="B290" s="3" t="s">
        <v>6</v>
      </c>
      <c r="C290" s="3" t="s">
        <v>296</v>
      </c>
      <c r="D290" s="3">
        <v>38</v>
      </c>
      <c r="E290" s="3">
        <v>27</v>
      </c>
      <c r="F290" s="3">
        <v>11</v>
      </c>
      <c r="G290" s="3" t="str">
        <f t="shared" si="8"/>
        <v>2025-03</v>
      </c>
      <c r="H290" s="26">
        <f t="shared" si="9"/>
        <v>0.71052631578947367</v>
      </c>
    </row>
    <row r="291" spans="1:8" ht="17.399999999999999">
      <c r="A291" s="25">
        <v>45730</v>
      </c>
      <c r="B291" s="3" t="s">
        <v>8</v>
      </c>
      <c r="C291" s="3" t="s">
        <v>297</v>
      </c>
      <c r="D291" s="3">
        <v>41</v>
      </c>
      <c r="E291" s="3">
        <v>40</v>
      </c>
      <c r="F291" s="3">
        <v>1</v>
      </c>
      <c r="G291" s="3" t="str">
        <f t="shared" si="8"/>
        <v>2025-03</v>
      </c>
      <c r="H291" s="26">
        <f t="shared" si="9"/>
        <v>0.97560975609756095</v>
      </c>
    </row>
    <row r="292" spans="1:8" ht="17.399999999999999">
      <c r="A292" s="25">
        <v>45730</v>
      </c>
      <c r="B292" s="3" t="s">
        <v>10</v>
      </c>
      <c r="C292" s="3" t="s">
        <v>298</v>
      </c>
      <c r="D292" s="3">
        <v>96</v>
      </c>
      <c r="E292" s="3">
        <v>90</v>
      </c>
      <c r="F292" s="3">
        <v>6</v>
      </c>
      <c r="G292" s="3" t="str">
        <f t="shared" si="8"/>
        <v>2025-03</v>
      </c>
      <c r="H292" s="26">
        <f t="shared" si="9"/>
        <v>0.9375</v>
      </c>
    </row>
    <row r="293" spans="1:8" ht="17.399999999999999">
      <c r="A293" s="25">
        <v>45730</v>
      </c>
      <c r="B293" s="3" t="s">
        <v>12</v>
      </c>
      <c r="C293" s="3" t="s">
        <v>299</v>
      </c>
      <c r="D293" s="3">
        <v>76</v>
      </c>
      <c r="E293" s="3">
        <v>56</v>
      </c>
      <c r="F293" s="3">
        <v>20</v>
      </c>
      <c r="G293" s="3" t="str">
        <f t="shared" si="8"/>
        <v>2025-03</v>
      </c>
      <c r="H293" s="26">
        <f t="shared" si="9"/>
        <v>0.73684210526315785</v>
      </c>
    </row>
    <row r="294" spans="1:8" ht="17.399999999999999">
      <c r="A294" s="25">
        <v>45731</v>
      </c>
      <c r="B294" s="3" t="s">
        <v>6</v>
      </c>
      <c r="C294" s="3" t="s">
        <v>300</v>
      </c>
      <c r="D294" s="3">
        <v>58</v>
      </c>
      <c r="E294" s="3">
        <v>52</v>
      </c>
      <c r="F294" s="3">
        <v>6</v>
      </c>
      <c r="G294" s="3" t="str">
        <f t="shared" si="8"/>
        <v>2025-03</v>
      </c>
      <c r="H294" s="26">
        <f t="shared" si="9"/>
        <v>0.89655172413793105</v>
      </c>
    </row>
    <row r="295" spans="1:8" ht="17.399999999999999">
      <c r="A295" s="25">
        <v>45731</v>
      </c>
      <c r="B295" s="3" t="s">
        <v>8</v>
      </c>
      <c r="C295" s="3" t="s">
        <v>301</v>
      </c>
      <c r="D295" s="3">
        <v>84</v>
      </c>
      <c r="E295" s="3">
        <v>75</v>
      </c>
      <c r="F295" s="3">
        <v>9</v>
      </c>
      <c r="G295" s="3" t="str">
        <f t="shared" si="8"/>
        <v>2025-03</v>
      </c>
      <c r="H295" s="26">
        <f t="shared" si="9"/>
        <v>0.8928571428571429</v>
      </c>
    </row>
    <row r="296" spans="1:8" ht="17.399999999999999">
      <c r="A296" s="25">
        <v>45731</v>
      </c>
      <c r="B296" s="3" t="s">
        <v>10</v>
      </c>
      <c r="C296" s="3" t="s">
        <v>302</v>
      </c>
      <c r="D296" s="3">
        <v>76</v>
      </c>
      <c r="E296" s="3">
        <v>55</v>
      </c>
      <c r="F296" s="3">
        <v>21</v>
      </c>
      <c r="G296" s="3" t="str">
        <f t="shared" si="8"/>
        <v>2025-03</v>
      </c>
      <c r="H296" s="26">
        <f t="shared" si="9"/>
        <v>0.72368421052631582</v>
      </c>
    </row>
    <row r="297" spans="1:8" ht="17.399999999999999">
      <c r="A297" s="25">
        <v>45731</v>
      </c>
      <c r="B297" s="3" t="s">
        <v>12</v>
      </c>
      <c r="C297" s="3" t="s">
        <v>303</v>
      </c>
      <c r="D297" s="3">
        <v>75</v>
      </c>
      <c r="E297" s="3">
        <v>75</v>
      </c>
      <c r="F297" s="3">
        <v>0</v>
      </c>
      <c r="G297" s="3" t="str">
        <f t="shared" si="8"/>
        <v>2025-03</v>
      </c>
      <c r="H297" s="26">
        <f t="shared" si="9"/>
        <v>1</v>
      </c>
    </row>
    <row r="298" spans="1:8" ht="17.399999999999999">
      <c r="A298" s="25">
        <v>45732</v>
      </c>
      <c r="B298" s="3" t="s">
        <v>6</v>
      </c>
      <c r="C298" s="3" t="s">
        <v>304</v>
      </c>
      <c r="D298" s="3">
        <v>97</v>
      </c>
      <c r="E298" s="3">
        <v>75</v>
      </c>
      <c r="F298" s="3">
        <v>22</v>
      </c>
      <c r="G298" s="3" t="str">
        <f t="shared" si="8"/>
        <v>2025-03</v>
      </c>
      <c r="H298" s="26">
        <f t="shared" si="9"/>
        <v>0.77319587628865982</v>
      </c>
    </row>
    <row r="299" spans="1:8" ht="17.399999999999999">
      <c r="A299" s="25">
        <v>45732</v>
      </c>
      <c r="B299" s="3" t="s">
        <v>8</v>
      </c>
      <c r="C299" s="3" t="s">
        <v>305</v>
      </c>
      <c r="D299" s="3">
        <v>31</v>
      </c>
      <c r="E299" s="3">
        <v>24</v>
      </c>
      <c r="F299" s="3">
        <v>7</v>
      </c>
      <c r="G299" s="3" t="str">
        <f t="shared" si="8"/>
        <v>2025-03</v>
      </c>
      <c r="H299" s="26">
        <f t="shared" si="9"/>
        <v>0.77419354838709675</v>
      </c>
    </row>
    <row r="300" spans="1:8" ht="17.399999999999999">
      <c r="A300" s="25">
        <v>45732</v>
      </c>
      <c r="B300" s="3" t="s">
        <v>10</v>
      </c>
      <c r="C300" s="3" t="s">
        <v>306</v>
      </c>
      <c r="D300" s="3">
        <v>54</v>
      </c>
      <c r="E300" s="3">
        <v>38</v>
      </c>
      <c r="F300" s="3">
        <v>16</v>
      </c>
      <c r="G300" s="3" t="str">
        <f t="shared" si="8"/>
        <v>2025-03</v>
      </c>
      <c r="H300" s="26">
        <f t="shared" si="9"/>
        <v>0.70370370370370372</v>
      </c>
    </row>
    <row r="301" spans="1:8" ht="17.399999999999999">
      <c r="A301" s="25">
        <v>45732</v>
      </c>
      <c r="B301" s="3" t="s">
        <v>12</v>
      </c>
      <c r="C301" s="3" t="s">
        <v>307</v>
      </c>
      <c r="D301" s="3">
        <v>80</v>
      </c>
      <c r="E301" s="3">
        <v>72</v>
      </c>
      <c r="F301" s="3">
        <v>8</v>
      </c>
      <c r="G301" s="3" t="str">
        <f t="shared" si="8"/>
        <v>2025-03</v>
      </c>
      <c r="H301" s="26">
        <f t="shared" si="9"/>
        <v>0.9</v>
      </c>
    </row>
    <row r="302" spans="1:8" ht="17.399999999999999">
      <c r="A302" s="25">
        <v>45733</v>
      </c>
      <c r="B302" s="3" t="s">
        <v>6</v>
      </c>
      <c r="C302" s="3" t="s">
        <v>308</v>
      </c>
      <c r="D302" s="3">
        <v>55</v>
      </c>
      <c r="E302" s="3">
        <v>43</v>
      </c>
      <c r="F302" s="3">
        <v>12</v>
      </c>
      <c r="G302" s="3" t="str">
        <f t="shared" si="8"/>
        <v>2025-03</v>
      </c>
      <c r="H302" s="26">
        <f t="shared" si="9"/>
        <v>0.78181818181818186</v>
      </c>
    </row>
    <row r="303" spans="1:8" ht="17.399999999999999">
      <c r="A303" s="25">
        <v>45733</v>
      </c>
      <c r="B303" s="3" t="s">
        <v>8</v>
      </c>
      <c r="C303" s="3" t="s">
        <v>309</v>
      </c>
      <c r="D303" s="3">
        <v>82</v>
      </c>
      <c r="E303" s="3">
        <v>59</v>
      </c>
      <c r="F303" s="3">
        <v>23</v>
      </c>
      <c r="G303" s="3" t="str">
        <f t="shared" si="8"/>
        <v>2025-03</v>
      </c>
      <c r="H303" s="26">
        <f t="shared" si="9"/>
        <v>0.71951219512195119</v>
      </c>
    </row>
    <row r="304" spans="1:8" ht="17.399999999999999">
      <c r="A304" s="25">
        <v>45733</v>
      </c>
      <c r="B304" s="3" t="s">
        <v>10</v>
      </c>
      <c r="C304" s="3" t="s">
        <v>310</v>
      </c>
      <c r="D304" s="3">
        <v>64</v>
      </c>
      <c r="E304" s="3">
        <v>57</v>
      </c>
      <c r="F304" s="3">
        <v>7</v>
      </c>
      <c r="G304" s="3" t="str">
        <f t="shared" si="8"/>
        <v>2025-03</v>
      </c>
      <c r="H304" s="26">
        <f t="shared" si="9"/>
        <v>0.890625</v>
      </c>
    </row>
    <row r="305" spans="1:8" ht="17.399999999999999">
      <c r="A305" s="25">
        <v>45733</v>
      </c>
      <c r="B305" s="3" t="s">
        <v>12</v>
      </c>
      <c r="C305" s="3" t="s">
        <v>311</v>
      </c>
      <c r="D305" s="3">
        <v>61</v>
      </c>
      <c r="E305" s="3">
        <v>45</v>
      </c>
      <c r="F305" s="3">
        <v>16</v>
      </c>
      <c r="G305" s="3" t="str">
        <f t="shared" si="8"/>
        <v>2025-03</v>
      </c>
      <c r="H305" s="26">
        <f t="shared" si="9"/>
        <v>0.73770491803278693</v>
      </c>
    </row>
    <row r="306" spans="1:8" ht="17.399999999999999">
      <c r="A306" s="25">
        <v>45734</v>
      </c>
      <c r="B306" s="3" t="s">
        <v>6</v>
      </c>
      <c r="C306" s="3" t="s">
        <v>312</v>
      </c>
      <c r="D306" s="3">
        <v>62</v>
      </c>
      <c r="E306" s="3">
        <v>56</v>
      </c>
      <c r="F306" s="3">
        <v>6</v>
      </c>
      <c r="G306" s="3" t="str">
        <f t="shared" si="8"/>
        <v>2025-03</v>
      </c>
      <c r="H306" s="26">
        <f t="shared" si="9"/>
        <v>0.90322580645161288</v>
      </c>
    </row>
    <row r="307" spans="1:8" ht="17.399999999999999">
      <c r="A307" s="25">
        <v>45734</v>
      </c>
      <c r="B307" s="3" t="s">
        <v>8</v>
      </c>
      <c r="C307" s="3" t="s">
        <v>313</v>
      </c>
      <c r="D307" s="3">
        <v>56</v>
      </c>
      <c r="E307" s="3">
        <v>51</v>
      </c>
      <c r="F307" s="3">
        <v>5</v>
      </c>
      <c r="G307" s="3" t="str">
        <f t="shared" si="8"/>
        <v>2025-03</v>
      </c>
      <c r="H307" s="26">
        <f t="shared" si="9"/>
        <v>0.9107142857142857</v>
      </c>
    </row>
    <row r="308" spans="1:8" ht="17.399999999999999">
      <c r="A308" s="25">
        <v>45734</v>
      </c>
      <c r="B308" s="3" t="s">
        <v>10</v>
      </c>
      <c r="C308" s="3" t="s">
        <v>314</v>
      </c>
      <c r="D308" s="3">
        <v>78</v>
      </c>
      <c r="E308" s="3">
        <v>56</v>
      </c>
      <c r="F308" s="3">
        <v>22</v>
      </c>
      <c r="G308" s="3" t="str">
        <f t="shared" si="8"/>
        <v>2025-03</v>
      </c>
      <c r="H308" s="26">
        <f t="shared" si="9"/>
        <v>0.71794871794871795</v>
      </c>
    </row>
    <row r="309" spans="1:8" ht="17.399999999999999">
      <c r="A309" s="25">
        <v>45734</v>
      </c>
      <c r="B309" s="3" t="s">
        <v>12</v>
      </c>
      <c r="C309" s="3" t="s">
        <v>315</v>
      </c>
      <c r="D309" s="3">
        <v>52</v>
      </c>
      <c r="E309" s="3">
        <v>46</v>
      </c>
      <c r="F309" s="3">
        <v>6</v>
      </c>
      <c r="G309" s="3" t="str">
        <f t="shared" si="8"/>
        <v>2025-03</v>
      </c>
      <c r="H309" s="26">
        <f t="shared" si="9"/>
        <v>0.88461538461538458</v>
      </c>
    </row>
    <row r="310" spans="1:8" ht="17.399999999999999">
      <c r="A310" s="25">
        <v>45735</v>
      </c>
      <c r="B310" s="3" t="s">
        <v>6</v>
      </c>
      <c r="C310" s="3" t="s">
        <v>316</v>
      </c>
      <c r="D310" s="3">
        <v>71</v>
      </c>
      <c r="E310" s="3">
        <v>65</v>
      </c>
      <c r="F310" s="3">
        <v>6</v>
      </c>
      <c r="G310" s="3" t="str">
        <f t="shared" si="8"/>
        <v>2025-03</v>
      </c>
      <c r="H310" s="26">
        <f t="shared" si="9"/>
        <v>0.91549295774647887</v>
      </c>
    </row>
    <row r="311" spans="1:8" ht="17.399999999999999">
      <c r="A311" s="25">
        <v>45735</v>
      </c>
      <c r="B311" s="3" t="s">
        <v>8</v>
      </c>
      <c r="C311" s="3" t="s">
        <v>317</v>
      </c>
      <c r="D311" s="3">
        <v>89</v>
      </c>
      <c r="E311" s="3">
        <v>76</v>
      </c>
      <c r="F311" s="3">
        <v>13</v>
      </c>
      <c r="G311" s="3" t="str">
        <f t="shared" si="8"/>
        <v>2025-03</v>
      </c>
      <c r="H311" s="26">
        <f t="shared" si="9"/>
        <v>0.8539325842696629</v>
      </c>
    </row>
    <row r="312" spans="1:8" ht="17.399999999999999">
      <c r="A312" s="25">
        <v>45735</v>
      </c>
      <c r="B312" s="3" t="s">
        <v>10</v>
      </c>
      <c r="C312" s="3" t="s">
        <v>318</v>
      </c>
      <c r="D312" s="3">
        <v>26</v>
      </c>
      <c r="E312" s="3">
        <v>21</v>
      </c>
      <c r="F312" s="3">
        <v>5</v>
      </c>
      <c r="G312" s="3" t="str">
        <f t="shared" si="8"/>
        <v>2025-03</v>
      </c>
      <c r="H312" s="26">
        <f t="shared" si="9"/>
        <v>0.80769230769230771</v>
      </c>
    </row>
    <row r="313" spans="1:8" ht="17.399999999999999">
      <c r="A313" s="25">
        <v>45735</v>
      </c>
      <c r="B313" s="3" t="s">
        <v>12</v>
      </c>
      <c r="C313" s="3" t="s">
        <v>319</v>
      </c>
      <c r="D313" s="3">
        <v>66</v>
      </c>
      <c r="E313" s="3">
        <v>65</v>
      </c>
      <c r="F313" s="3">
        <v>1</v>
      </c>
      <c r="G313" s="3" t="str">
        <f t="shared" si="8"/>
        <v>2025-03</v>
      </c>
      <c r="H313" s="26">
        <f t="shared" si="9"/>
        <v>0.98484848484848486</v>
      </c>
    </row>
    <row r="314" spans="1:8" ht="17.399999999999999">
      <c r="A314" s="25">
        <v>45736</v>
      </c>
      <c r="B314" s="3" t="s">
        <v>6</v>
      </c>
      <c r="C314" s="3" t="s">
        <v>320</v>
      </c>
      <c r="D314" s="3">
        <v>100</v>
      </c>
      <c r="E314" s="3">
        <v>84</v>
      </c>
      <c r="F314" s="3">
        <v>16</v>
      </c>
      <c r="G314" s="3" t="str">
        <f t="shared" si="8"/>
        <v>2025-03</v>
      </c>
      <c r="H314" s="26">
        <f t="shared" si="9"/>
        <v>0.84</v>
      </c>
    </row>
    <row r="315" spans="1:8" ht="17.399999999999999">
      <c r="A315" s="25">
        <v>45736</v>
      </c>
      <c r="B315" s="3" t="s">
        <v>8</v>
      </c>
      <c r="C315" s="3" t="s">
        <v>321</v>
      </c>
      <c r="D315" s="3">
        <v>46</v>
      </c>
      <c r="E315" s="3">
        <v>36</v>
      </c>
      <c r="F315" s="3">
        <v>10</v>
      </c>
      <c r="G315" s="3" t="str">
        <f t="shared" si="8"/>
        <v>2025-03</v>
      </c>
      <c r="H315" s="26">
        <f t="shared" si="9"/>
        <v>0.78260869565217395</v>
      </c>
    </row>
    <row r="316" spans="1:8" ht="17.399999999999999">
      <c r="A316" s="25">
        <v>45736</v>
      </c>
      <c r="B316" s="3" t="s">
        <v>10</v>
      </c>
      <c r="C316" s="3" t="s">
        <v>322</v>
      </c>
      <c r="D316" s="3">
        <v>36</v>
      </c>
      <c r="E316" s="3">
        <v>29</v>
      </c>
      <c r="F316" s="3">
        <v>7</v>
      </c>
      <c r="G316" s="3" t="str">
        <f t="shared" si="8"/>
        <v>2025-03</v>
      </c>
      <c r="H316" s="26">
        <f t="shared" si="9"/>
        <v>0.80555555555555558</v>
      </c>
    </row>
    <row r="317" spans="1:8" ht="17.399999999999999">
      <c r="A317" s="25">
        <v>45736</v>
      </c>
      <c r="B317" s="3" t="s">
        <v>12</v>
      </c>
      <c r="C317" s="3" t="s">
        <v>323</v>
      </c>
      <c r="D317" s="3">
        <v>82</v>
      </c>
      <c r="E317" s="3">
        <v>60</v>
      </c>
      <c r="F317" s="3">
        <v>22</v>
      </c>
      <c r="G317" s="3" t="str">
        <f t="shared" si="8"/>
        <v>2025-03</v>
      </c>
      <c r="H317" s="26">
        <f t="shared" si="9"/>
        <v>0.73170731707317072</v>
      </c>
    </row>
    <row r="318" spans="1:8" ht="17.399999999999999">
      <c r="A318" s="25">
        <v>45737</v>
      </c>
      <c r="B318" s="3" t="s">
        <v>6</v>
      </c>
      <c r="C318" s="3" t="s">
        <v>324</v>
      </c>
      <c r="D318" s="3">
        <v>100</v>
      </c>
      <c r="E318" s="3">
        <v>89</v>
      </c>
      <c r="F318" s="3">
        <v>11</v>
      </c>
      <c r="G318" s="3" t="str">
        <f t="shared" si="8"/>
        <v>2025-03</v>
      </c>
      <c r="H318" s="26">
        <f t="shared" si="9"/>
        <v>0.89</v>
      </c>
    </row>
    <row r="319" spans="1:8" ht="17.399999999999999">
      <c r="A319" s="25">
        <v>45737</v>
      </c>
      <c r="B319" s="3" t="s">
        <v>8</v>
      </c>
      <c r="C319" s="3" t="s">
        <v>325</v>
      </c>
      <c r="D319" s="3">
        <v>40</v>
      </c>
      <c r="E319" s="3">
        <v>32</v>
      </c>
      <c r="F319" s="3">
        <v>8</v>
      </c>
      <c r="G319" s="3" t="str">
        <f t="shared" si="8"/>
        <v>2025-03</v>
      </c>
      <c r="H319" s="26">
        <f t="shared" si="9"/>
        <v>0.8</v>
      </c>
    </row>
    <row r="320" spans="1:8" ht="17.399999999999999">
      <c r="A320" s="25">
        <v>45737</v>
      </c>
      <c r="B320" s="3" t="s">
        <v>10</v>
      </c>
      <c r="C320" s="3" t="s">
        <v>326</v>
      </c>
      <c r="D320" s="3">
        <v>90</v>
      </c>
      <c r="E320" s="3">
        <v>75</v>
      </c>
      <c r="F320" s="3">
        <v>15</v>
      </c>
      <c r="G320" s="3" t="str">
        <f t="shared" si="8"/>
        <v>2025-03</v>
      </c>
      <c r="H320" s="26">
        <f t="shared" si="9"/>
        <v>0.83333333333333337</v>
      </c>
    </row>
    <row r="321" spans="1:8" ht="17.399999999999999">
      <c r="A321" s="25">
        <v>45737</v>
      </c>
      <c r="B321" s="3" t="s">
        <v>12</v>
      </c>
      <c r="C321" s="3" t="s">
        <v>327</v>
      </c>
      <c r="D321" s="3">
        <v>48</v>
      </c>
      <c r="E321" s="3">
        <v>36</v>
      </c>
      <c r="F321" s="3">
        <v>12</v>
      </c>
      <c r="G321" s="3" t="str">
        <f t="shared" si="8"/>
        <v>2025-03</v>
      </c>
      <c r="H321" s="26">
        <f t="shared" si="9"/>
        <v>0.75</v>
      </c>
    </row>
    <row r="322" spans="1:8" ht="17.399999999999999">
      <c r="A322" s="25">
        <v>45738</v>
      </c>
      <c r="B322" s="3" t="s">
        <v>6</v>
      </c>
      <c r="C322" s="3" t="s">
        <v>328</v>
      </c>
      <c r="D322" s="3">
        <v>35</v>
      </c>
      <c r="E322" s="3">
        <v>34</v>
      </c>
      <c r="F322" s="3">
        <v>1</v>
      </c>
      <c r="G322" s="3" t="str">
        <f t="shared" si="8"/>
        <v>2025-03</v>
      </c>
      <c r="H322" s="26">
        <f t="shared" si="9"/>
        <v>0.97142857142857142</v>
      </c>
    </row>
    <row r="323" spans="1:8" ht="17.399999999999999">
      <c r="A323" s="25">
        <v>45738</v>
      </c>
      <c r="B323" s="3" t="s">
        <v>8</v>
      </c>
      <c r="C323" s="3" t="s">
        <v>329</v>
      </c>
      <c r="D323" s="3">
        <v>83</v>
      </c>
      <c r="E323" s="3">
        <v>80</v>
      </c>
      <c r="F323" s="3">
        <v>3</v>
      </c>
      <c r="G323" s="3" t="str">
        <f t="shared" ref="G323:G386" si="10">TEXT(A323,"yyyy-mm")</f>
        <v>2025-03</v>
      </c>
      <c r="H323" s="26">
        <f t="shared" ref="H323:H386" si="11">E323/D323</f>
        <v>0.96385542168674698</v>
      </c>
    </row>
    <row r="324" spans="1:8" ht="17.399999999999999">
      <c r="A324" s="25">
        <v>45738</v>
      </c>
      <c r="B324" s="3" t="s">
        <v>10</v>
      </c>
      <c r="C324" s="3" t="s">
        <v>330</v>
      </c>
      <c r="D324" s="3">
        <v>85</v>
      </c>
      <c r="E324" s="3">
        <v>81</v>
      </c>
      <c r="F324" s="3">
        <v>4</v>
      </c>
      <c r="G324" s="3" t="str">
        <f t="shared" si="10"/>
        <v>2025-03</v>
      </c>
      <c r="H324" s="26">
        <f t="shared" si="11"/>
        <v>0.95294117647058818</v>
      </c>
    </row>
    <row r="325" spans="1:8" ht="17.399999999999999">
      <c r="A325" s="25">
        <v>45738</v>
      </c>
      <c r="B325" s="3" t="s">
        <v>12</v>
      </c>
      <c r="C325" s="3" t="s">
        <v>331</v>
      </c>
      <c r="D325" s="3">
        <v>73</v>
      </c>
      <c r="E325" s="3">
        <v>66</v>
      </c>
      <c r="F325" s="3">
        <v>7</v>
      </c>
      <c r="G325" s="3" t="str">
        <f t="shared" si="10"/>
        <v>2025-03</v>
      </c>
      <c r="H325" s="26">
        <f t="shared" si="11"/>
        <v>0.90410958904109584</v>
      </c>
    </row>
    <row r="326" spans="1:8" ht="17.399999999999999">
      <c r="A326" s="25">
        <v>45739</v>
      </c>
      <c r="B326" s="3" t="s">
        <v>6</v>
      </c>
      <c r="C326" s="3" t="s">
        <v>332</v>
      </c>
      <c r="D326" s="3">
        <v>51</v>
      </c>
      <c r="E326" s="3">
        <v>49</v>
      </c>
      <c r="F326" s="3">
        <v>2</v>
      </c>
      <c r="G326" s="3" t="str">
        <f t="shared" si="10"/>
        <v>2025-03</v>
      </c>
      <c r="H326" s="26">
        <f t="shared" si="11"/>
        <v>0.96078431372549022</v>
      </c>
    </row>
    <row r="327" spans="1:8" ht="17.399999999999999">
      <c r="A327" s="25">
        <v>45739</v>
      </c>
      <c r="B327" s="3" t="s">
        <v>8</v>
      </c>
      <c r="C327" s="3" t="s">
        <v>333</v>
      </c>
      <c r="D327" s="3">
        <v>69</v>
      </c>
      <c r="E327" s="3">
        <v>54</v>
      </c>
      <c r="F327" s="3">
        <v>15</v>
      </c>
      <c r="G327" s="3" t="str">
        <f t="shared" si="10"/>
        <v>2025-03</v>
      </c>
      <c r="H327" s="26">
        <f t="shared" si="11"/>
        <v>0.78260869565217395</v>
      </c>
    </row>
    <row r="328" spans="1:8" ht="17.399999999999999">
      <c r="A328" s="25">
        <v>45739</v>
      </c>
      <c r="B328" s="3" t="s">
        <v>10</v>
      </c>
      <c r="C328" s="3" t="s">
        <v>334</v>
      </c>
      <c r="D328" s="3">
        <v>37</v>
      </c>
      <c r="E328" s="3">
        <v>26</v>
      </c>
      <c r="F328" s="3">
        <v>11</v>
      </c>
      <c r="G328" s="3" t="str">
        <f t="shared" si="10"/>
        <v>2025-03</v>
      </c>
      <c r="H328" s="26">
        <f t="shared" si="11"/>
        <v>0.70270270270270274</v>
      </c>
    </row>
    <row r="329" spans="1:8" ht="17.399999999999999">
      <c r="A329" s="25">
        <v>45739</v>
      </c>
      <c r="B329" s="3" t="s">
        <v>12</v>
      </c>
      <c r="C329" s="3" t="s">
        <v>335</v>
      </c>
      <c r="D329" s="3">
        <v>73</v>
      </c>
      <c r="E329" s="3">
        <v>61</v>
      </c>
      <c r="F329" s="3">
        <v>12</v>
      </c>
      <c r="G329" s="3" t="str">
        <f t="shared" si="10"/>
        <v>2025-03</v>
      </c>
      <c r="H329" s="26">
        <f t="shared" si="11"/>
        <v>0.83561643835616439</v>
      </c>
    </row>
    <row r="330" spans="1:8" ht="17.399999999999999">
      <c r="A330" s="25">
        <v>45740</v>
      </c>
      <c r="B330" s="3" t="s">
        <v>6</v>
      </c>
      <c r="C330" s="3" t="s">
        <v>336</v>
      </c>
      <c r="D330" s="3">
        <v>54</v>
      </c>
      <c r="E330" s="3">
        <v>37</v>
      </c>
      <c r="F330" s="3">
        <v>17</v>
      </c>
      <c r="G330" s="3" t="str">
        <f t="shared" si="10"/>
        <v>2025-03</v>
      </c>
      <c r="H330" s="26">
        <f t="shared" si="11"/>
        <v>0.68518518518518523</v>
      </c>
    </row>
    <row r="331" spans="1:8" ht="17.399999999999999">
      <c r="A331" s="25">
        <v>45740</v>
      </c>
      <c r="B331" s="3" t="s">
        <v>8</v>
      </c>
      <c r="C331" s="3" t="s">
        <v>337</v>
      </c>
      <c r="D331" s="3">
        <v>58</v>
      </c>
      <c r="E331" s="3">
        <v>58</v>
      </c>
      <c r="F331" s="3">
        <v>0</v>
      </c>
      <c r="G331" s="3" t="str">
        <f t="shared" si="10"/>
        <v>2025-03</v>
      </c>
      <c r="H331" s="26">
        <f t="shared" si="11"/>
        <v>1</v>
      </c>
    </row>
    <row r="332" spans="1:8" ht="17.399999999999999">
      <c r="A332" s="25">
        <v>45740</v>
      </c>
      <c r="B332" s="3" t="s">
        <v>10</v>
      </c>
      <c r="C332" s="3" t="s">
        <v>338</v>
      </c>
      <c r="D332" s="3">
        <v>39</v>
      </c>
      <c r="E332" s="3">
        <v>34</v>
      </c>
      <c r="F332" s="3">
        <v>5</v>
      </c>
      <c r="G332" s="3" t="str">
        <f t="shared" si="10"/>
        <v>2025-03</v>
      </c>
      <c r="H332" s="26">
        <f t="shared" si="11"/>
        <v>0.87179487179487181</v>
      </c>
    </row>
    <row r="333" spans="1:8" ht="17.399999999999999">
      <c r="A333" s="25">
        <v>45740</v>
      </c>
      <c r="B333" s="3" t="s">
        <v>12</v>
      </c>
      <c r="C333" s="3" t="s">
        <v>339</v>
      </c>
      <c r="D333" s="3">
        <v>81</v>
      </c>
      <c r="E333" s="3">
        <v>67</v>
      </c>
      <c r="F333" s="3">
        <v>14</v>
      </c>
      <c r="G333" s="3" t="str">
        <f t="shared" si="10"/>
        <v>2025-03</v>
      </c>
      <c r="H333" s="26">
        <f t="shared" si="11"/>
        <v>0.8271604938271605</v>
      </c>
    </row>
    <row r="334" spans="1:8" ht="17.399999999999999">
      <c r="A334" s="25">
        <v>45741</v>
      </c>
      <c r="B334" s="3" t="s">
        <v>6</v>
      </c>
      <c r="C334" s="3" t="s">
        <v>340</v>
      </c>
      <c r="D334" s="3">
        <v>90</v>
      </c>
      <c r="E334" s="3">
        <v>86</v>
      </c>
      <c r="F334" s="3">
        <v>4</v>
      </c>
      <c r="G334" s="3" t="str">
        <f t="shared" si="10"/>
        <v>2025-03</v>
      </c>
      <c r="H334" s="26">
        <f t="shared" si="11"/>
        <v>0.9555555555555556</v>
      </c>
    </row>
    <row r="335" spans="1:8" ht="17.399999999999999">
      <c r="A335" s="25">
        <v>45741</v>
      </c>
      <c r="B335" s="3" t="s">
        <v>8</v>
      </c>
      <c r="C335" s="3" t="s">
        <v>341</v>
      </c>
      <c r="D335" s="3">
        <v>68</v>
      </c>
      <c r="E335" s="3">
        <v>61</v>
      </c>
      <c r="F335" s="3">
        <v>7</v>
      </c>
      <c r="G335" s="3" t="str">
        <f t="shared" si="10"/>
        <v>2025-03</v>
      </c>
      <c r="H335" s="26">
        <f t="shared" si="11"/>
        <v>0.8970588235294118</v>
      </c>
    </row>
    <row r="336" spans="1:8" ht="17.399999999999999">
      <c r="A336" s="25">
        <v>45741</v>
      </c>
      <c r="B336" s="3" t="s">
        <v>10</v>
      </c>
      <c r="C336" s="3" t="s">
        <v>342</v>
      </c>
      <c r="D336" s="3">
        <v>44</v>
      </c>
      <c r="E336" s="3">
        <v>41</v>
      </c>
      <c r="F336" s="3">
        <v>3</v>
      </c>
      <c r="G336" s="3" t="str">
        <f t="shared" si="10"/>
        <v>2025-03</v>
      </c>
      <c r="H336" s="26">
        <f t="shared" si="11"/>
        <v>0.93181818181818177</v>
      </c>
    </row>
    <row r="337" spans="1:8" ht="17.399999999999999">
      <c r="A337" s="25">
        <v>45741</v>
      </c>
      <c r="B337" s="3" t="s">
        <v>12</v>
      </c>
      <c r="C337" s="3" t="s">
        <v>343</v>
      </c>
      <c r="D337" s="3">
        <v>93</v>
      </c>
      <c r="E337" s="3">
        <v>77</v>
      </c>
      <c r="F337" s="3">
        <v>16</v>
      </c>
      <c r="G337" s="3" t="str">
        <f t="shared" si="10"/>
        <v>2025-03</v>
      </c>
      <c r="H337" s="26">
        <f t="shared" si="11"/>
        <v>0.82795698924731187</v>
      </c>
    </row>
    <row r="338" spans="1:8" ht="17.399999999999999">
      <c r="A338" s="25">
        <v>45742</v>
      </c>
      <c r="B338" s="3" t="s">
        <v>6</v>
      </c>
      <c r="C338" s="3" t="s">
        <v>344</v>
      </c>
      <c r="D338" s="3">
        <v>72</v>
      </c>
      <c r="E338" s="3">
        <v>51</v>
      </c>
      <c r="F338" s="3">
        <v>21</v>
      </c>
      <c r="G338" s="3" t="str">
        <f t="shared" si="10"/>
        <v>2025-03</v>
      </c>
      <c r="H338" s="26">
        <f t="shared" si="11"/>
        <v>0.70833333333333337</v>
      </c>
    </row>
    <row r="339" spans="1:8" ht="17.399999999999999">
      <c r="A339" s="25">
        <v>45742</v>
      </c>
      <c r="B339" s="3" t="s">
        <v>8</v>
      </c>
      <c r="C339" s="3" t="s">
        <v>345</v>
      </c>
      <c r="D339" s="3">
        <v>80</v>
      </c>
      <c r="E339" s="3">
        <v>78</v>
      </c>
      <c r="F339" s="3">
        <v>2</v>
      </c>
      <c r="G339" s="3" t="str">
        <f t="shared" si="10"/>
        <v>2025-03</v>
      </c>
      <c r="H339" s="26">
        <f t="shared" si="11"/>
        <v>0.97499999999999998</v>
      </c>
    </row>
    <row r="340" spans="1:8" ht="17.399999999999999">
      <c r="A340" s="25">
        <v>45742</v>
      </c>
      <c r="B340" s="3" t="s">
        <v>10</v>
      </c>
      <c r="C340" s="3" t="s">
        <v>346</v>
      </c>
      <c r="D340" s="3">
        <v>69</v>
      </c>
      <c r="E340" s="3">
        <v>69</v>
      </c>
      <c r="F340" s="3">
        <v>0</v>
      </c>
      <c r="G340" s="3" t="str">
        <f t="shared" si="10"/>
        <v>2025-03</v>
      </c>
      <c r="H340" s="26">
        <f t="shared" si="11"/>
        <v>1</v>
      </c>
    </row>
    <row r="341" spans="1:8" ht="17.399999999999999">
      <c r="A341" s="25">
        <v>45742</v>
      </c>
      <c r="B341" s="3" t="s">
        <v>12</v>
      </c>
      <c r="C341" s="3" t="s">
        <v>347</v>
      </c>
      <c r="D341" s="3">
        <v>83</v>
      </c>
      <c r="E341" s="3">
        <v>59</v>
      </c>
      <c r="F341" s="3">
        <v>24</v>
      </c>
      <c r="G341" s="3" t="str">
        <f t="shared" si="10"/>
        <v>2025-03</v>
      </c>
      <c r="H341" s="26">
        <f t="shared" si="11"/>
        <v>0.71084337349397586</v>
      </c>
    </row>
    <row r="342" spans="1:8" ht="17.399999999999999">
      <c r="A342" s="25">
        <v>45743</v>
      </c>
      <c r="B342" s="3" t="s">
        <v>6</v>
      </c>
      <c r="C342" s="3" t="s">
        <v>348</v>
      </c>
      <c r="D342" s="3">
        <v>84</v>
      </c>
      <c r="E342" s="3">
        <v>76</v>
      </c>
      <c r="F342" s="3">
        <v>8</v>
      </c>
      <c r="G342" s="3" t="str">
        <f t="shared" si="10"/>
        <v>2025-03</v>
      </c>
      <c r="H342" s="26">
        <f t="shared" si="11"/>
        <v>0.90476190476190477</v>
      </c>
    </row>
    <row r="343" spans="1:8" ht="17.399999999999999">
      <c r="A343" s="25">
        <v>45743</v>
      </c>
      <c r="B343" s="3" t="s">
        <v>8</v>
      </c>
      <c r="C343" s="3" t="s">
        <v>349</v>
      </c>
      <c r="D343" s="3">
        <v>32</v>
      </c>
      <c r="E343" s="3">
        <v>29</v>
      </c>
      <c r="F343" s="3">
        <v>3</v>
      </c>
      <c r="G343" s="3" t="str">
        <f t="shared" si="10"/>
        <v>2025-03</v>
      </c>
      <c r="H343" s="26">
        <f t="shared" si="11"/>
        <v>0.90625</v>
      </c>
    </row>
    <row r="344" spans="1:8" ht="17.399999999999999">
      <c r="A344" s="25">
        <v>45743</v>
      </c>
      <c r="B344" s="3" t="s">
        <v>10</v>
      </c>
      <c r="C344" s="3" t="s">
        <v>350</v>
      </c>
      <c r="D344" s="3">
        <v>87</v>
      </c>
      <c r="E344" s="3">
        <v>74</v>
      </c>
      <c r="F344" s="3">
        <v>13</v>
      </c>
      <c r="G344" s="3" t="str">
        <f t="shared" si="10"/>
        <v>2025-03</v>
      </c>
      <c r="H344" s="26">
        <f t="shared" si="11"/>
        <v>0.85057471264367812</v>
      </c>
    </row>
    <row r="345" spans="1:8" ht="17.399999999999999">
      <c r="A345" s="25">
        <v>45743</v>
      </c>
      <c r="B345" s="3" t="s">
        <v>12</v>
      </c>
      <c r="C345" s="3" t="s">
        <v>351</v>
      </c>
      <c r="D345" s="3">
        <v>38</v>
      </c>
      <c r="E345" s="3">
        <v>32</v>
      </c>
      <c r="F345" s="3">
        <v>6</v>
      </c>
      <c r="G345" s="3" t="str">
        <f t="shared" si="10"/>
        <v>2025-03</v>
      </c>
      <c r="H345" s="26">
        <f t="shared" si="11"/>
        <v>0.84210526315789469</v>
      </c>
    </row>
    <row r="346" spans="1:8" ht="17.399999999999999">
      <c r="A346" s="25">
        <v>45744</v>
      </c>
      <c r="B346" s="3" t="s">
        <v>6</v>
      </c>
      <c r="C346" s="3" t="s">
        <v>352</v>
      </c>
      <c r="D346" s="3">
        <v>29</v>
      </c>
      <c r="E346" s="3">
        <v>27</v>
      </c>
      <c r="F346" s="3">
        <v>2</v>
      </c>
      <c r="G346" s="3" t="str">
        <f t="shared" si="10"/>
        <v>2025-03</v>
      </c>
      <c r="H346" s="26">
        <f t="shared" si="11"/>
        <v>0.93103448275862066</v>
      </c>
    </row>
    <row r="347" spans="1:8" ht="17.399999999999999">
      <c r="A347" s="25">
        <v>45744</v>
      </c>
      <c r="B347" s="3" t="s">
        <v>8</v>
      </c>
      <c r="C347" s="3" t="s">
        <v>353</v>
      </c>
      <c r="D347" s="3">
        <v>63</v>
      </c>
      <c r="E347" s="3">
        <v>63</v>
      </c>
      <c r="F347" s="3">
        <v>0</v>
      </c>
      <c r="G347" s="3" t="str">
        <f t="shared" si="10"/>
        <v>2025-03</v>
      </c>
      <c r="H347" s="26">
        <f t="shared" si="11"/>
        <v>1</v>
      </c>
    </row>
    <row r="348" spans="1:8" ht="17.399999999999999">
      <c r="A348" s="25">
        <v>45744</v>
      </c>
      <c r="B348" s="3" t="s">
        <v>10</v>
      </c>
      <c r="C348" s="3" t="s">
        <v>354</v>
      </c>
      <c r="D348" s="3">
        <v>30</v>
      </c>
      <c r="E348" s="3">
        <v>26</v>
      </c>
      <c r="F348" s="3">
        <v>4</v>
      </c>
      <c r="G348" s="3" t="str">
        <f t="shared" si="10"/>
        <v>2025-03</v>
      </c>
      <c r="H348" s="26">
        <f t="shared" si="11"/>
        <v>0.8666666666666667</v>
      </c>
    </row>
    <row r="349" spans="1:8" ht="17.399999999999999">
      <c r="A349" s="25">
        <v>45744</v>
      </c>
      <c r="B349" s="3" t="s">
        <v>12</v>
      </c>
      <c r="C349" s="3" t="s">
        <v>355</v>
      </c>
      <c r="D349" s="3">
        <v>68</v>
      </c>
      <c r="E349" s="3">
        <v>57</v>
      </c>
      <c r="F349" s="3">
        <v>11</v>
      </c>
      <c r="G349" s="3" t="str">
        <f t="shared" si="10"/>
        <v>2025-03</v>
      </c>
      <c r="H349" s="26">
        <f t="shared" si="11"/>
        <v>0.83823529411764708</v>
      </c>
    </row>
    <row r="350" spans="1:8" ht="17.399999999999999">
      <c r="A350" s="25">
        <v>45745</v>
      </c>
      <c r="B350" s="3" t="s">
        <v>6</v>
      </c>
      <c r="C350" s="3" t="s">
        <v>356</v>
      </c>
      <c r="D350" s="3">
        <v>89</v>
      </c>
      <c r="E350" s="3">
        <v>63</v>
      </c>
      <c r="F350" s="3">
        <v>26</v>
      </c>
      <c r="G350" s="3" t="str">
        <f t="shared" si="10"/>
        <v>2025-03</v>
      </c>
      <c r="H350" s="26">
        <f t="shared" si="11"/>
        <v>0.7078651685393258</v>
      </c>
    </row>
    <row r="351" spans="1:8" ht="17.399999999999999">
      <c r="A351" s="25">
        <v>45745</v>
      </c>
      <c r="B351" s="3" t="s">
        <v>8</v>
      </c>
      <c r="C351" s="3" t="s">
        <v>357</v>
      </c>
      <c r="D351" s="3">
        <v>50</v>
      </c>
      <c r="E351" s="3">
        <v>44</v>
      </c>
      <c r="F351" s="3">
        <v>6</v>
      </c>
      <c r="G351" s="3" t="str">
        <f t="shared" si="10"/>
        <v>2025-03</v>
      </c>
      <c r="H351" s="26">
        <f t="shared" si="11"/>
        <v>0.88</v>
      </c>
    </row>
    <row r="352" spans="1:8" ht="17.399999999999999">
      <c r="A352" s="25">
        <v>45745</v>
      </c>
      <c r="B352" s="3" t="s">
        <v>10</v>
      </c>
      <c r="C352" s="3" t="s">
        <v>358</v>
      </c>
      <c r="D352" s="3">
        <v>31</v>
      </c>
      <c r="E352" s="3">
        <v>27</v>
      </c>
      <c r="F352" s="3">
        <v>4</v>
      </c>
      <c r="G352" s="3" t="str">
        <f t="shared" si="10"/>
        <v>2025-03</v>
      </c>
      <c r="H352" s="26">
        <f t="shared" si="11"/>
        <v>0.87096774193548387</v>
      </c>
    </row>
    <row r="353" spans="1:8" ht="17.399999999999999">
      <c r="A353" s="25">
        <v>45745</v>
      </c>
      <c r="B353" s="3" t="s">
        <v>12</v>
      </c>
      <c r="C353" s="3" t="s">
        <v>359</v>
      </c>
      <c r="D353" s="3">
        <v>32</v>
      </c>
      <c r="E353" s="3">
        <v>29</v>
      </c>
      <c r="F353" s="3">
        <v>3</v>
      </c>
      <c r="G353" s="3" t="str">
        <f t="shared" si="10"/>
        <v>2025-03</v>
      </c>
      <c r="H353" s="26">
        <f t="shared" si="11"/>
        <v>0.90625</v>
      </c>
    </row>
    <row r="354" spans="1:8" ht="17.399999999999999">
      <c r="A354" s="25">
        <v>45746</v>
      </c>
      <c r="B354" s="3" t="s">
        <v>6</v>
      </c>
      <c r="C354" s="3" t="s">
        <v>360</v>
      </c>
      <c r="D354" s="3">
        <v>58</v>
      </c>
      <c r="E354" s="3">
        <v>40</v>
      </c>
      <c r="F354" s="3">
        <v>18</v>
      </c>
      <c r="G354" s="3" t="str">
        <f t="shared" si="10"/>
        <v>2025-03</v>
      </c>
      <c r="H354" s="26">
        <f t="shared" si="11"/>
        <v>0.68965517241379315</v>
      </c>
    </row>
    <row r="355" spans="1:8" ht="17.399999999999999">
      <c r="A355" s="25">
        <v>45746</v>
      </c>
      <c r="B355" s="3" t="s">
        <v>8</v>
      </c>
      <c r="C355" s="3" t="s">
        <v>361</v>
      </c>
      <c r="D355" s="3">
        <v>61</v>
      </c>
      <c r="E355" s="3">
        <v>43</v>
      </c>
      <c r="F355" s="3">
        <v>18</v>
      </c>
      <c r="G355" s="3" t="str">
        <f t="shared" si="10"/>
        <v>2025-03</v>
      </c>
      <c r="H355" s="26">
        <f t="shared" si="11"/>
        <v>0.70491803278688525</v>
      </c>
    </row>
    <row r="356" spans="1:8" ht="17.399999999999999">
      <c r="A356" s="25">
        <v>45746</v>
      </c>
      <c r="B356" s="3" t="s">
        <v>10</v>
      </c>
      <c r="C356" s="3" t="s">
        <v>362</v>
      </c>
      <c r="D356" s="3">
        <v>65</v>
      </c>
      <c r="E356" s="3">
        <v>56</v>
      </c>
      <c r="F356" s="3">
        <v>9</v>
      </c>
      <c r="G356" s="3" t="str">
        <f t="shared" si="10"/>
        <v>2025-03</v>
      </c>
      <c r="H356" s="26">
        <f t="shared" si="11"/>
        <v>0.86153846153846159</v>
      </c>
    </row>
    <row r="357" spans="1:8" ht="17.399999999999999">
      <c r="A357" s="25">
        <v>45746</v>
      </c>
      <c r="B357" s="3" t="s">
        <v>12</v>
      </c>
      <c r="C357" s="3" t="s">
        <v>363</v>
      </c>
      <c r="D357" s="3">
        <v>38</v>
      </c>
      <c r="E357" s="3">
        <v>29</v>
      </c>
      <c r="F357" s="3">
        <v>9</v>
      </c>
      <c r="G357" s="3" t="str">
        <f t="shared" si="10"/>
        <v>2025-03</v>
      </c>
      <c r="H357" s="26">
        <f t="shared" si="11"/>
        <v>0.76315789473684215</v>
      </c>
    </row>
    <row r="358" spans="1:8" ht="17.399999999999999">
      <c r="A358" s="25">
        <v>45747</v>
      </c>
      <c r="B358" s="3" t="s">
        <v>6</v>
      </c>
      <c r="C358" s="3" t="s">
        <v>364</v>
      </c>
      <c r="D358" s="3">
        <v>72</v>
      </c>
      <c r="E358" s="3">
        <v>68</v>
      </c>
      <c r="F358" s="3">
        <v>4</v>
      </c>
      <c r="G358" s="3" t="str">
        <f t="shared" si="10"/>
        <v>2025-03</v>
      </c>
      <c r="H358" s="26">
        <f t="shared" si="11"/>
        <v>0.94444444444444442</v>
      </c>
    </row>
    <row r="359" spans="1:8" ht="17.399999999999999">
      <c r="A359" s="25">
        <v>45747</v>
      </c>
      <c r="B359" s="3" t="s">
        <v>8</v>
      </c>
      <c r="C359" s="3" t="s">
        <v>365</v>
      </c>
      <c r="D359" s="3">
        <v>41</v>
      </c>
      <c r="E359" s="3">
        <v>30</v>
      </c>
      <c r="F359" s="3">
        <v>11</v>
      </c>
      <c r="G359" s="3" t="str">
        <f t="shared" si="10"/>
        <v>2025-03</v>
      </c>
      <c r="H359" s="26">
        <f t="shared" si="11"/>
        <v>0.73170731707317072</v>
      </c>
    </row>
    <row r="360" spans="1:8" ht="17.399999999999999">
      <c r="A360" s="25">
        <v>45747</v>
      </c>
      <c r="B360" s="3" t="s">
        <v>10</v>
      </c>
      <c r="C360" s="3" t="s">
        <v>366</v>
      </c>
      <c r="D360" s="3">
        <v>98</v>
      </c>
      <c r="E360" s="3">
        <v>95</v>
      </c>
      <c r="F360" s="3">
        <v>3</v>
      </c>
      <c r="G360" s="3" t="str">
        <f t="shared" si="10"/>
        <v>2025-03</v>
      </c>
      <c r="H360" s="26">
        <f t="shared" si="11"/>
        <v>0.96938775510204078</v>
      </c>
    </row>
    <row r="361" spans="1:8" ht="17.399999999999999">
      <c r="A361" s="25">
        <v>45747</v>
      </c>
      <c r="B361" s="3" t="s">
        <v>12</v>
      </c>
      <c r="C361" s="3" t="s">
        <v>367</v>
      </c>
      <c r="D361" s="3">
        <v>99</v>
      </c>
      <c r="E361" s="3">
        <v>90</v>
      </c>
      <c r="F361" s="3">
        <v>9</v>
      </c>
      <c r="G361" s="3" t="str">
        <f t="shared" si="10"/>
        <v>2025-03</v>
      </c>
      <c r="H361" s="26">
        <f t="shared" si="11"/>
        <v>0.90909090909090906</v>
      </c>
    </row>
    <row r="362" spans="1:8" ht="17.399999999999999">
      <c r="A362" s="25">
        <v>45748</v>
      </c>
      <c r="B362" s="3" t="s">
        <v>6</v>
      </c>
      <c r="C362" s="3" t="s">
        <v>368</v>
      </c>
      <c r="D362" s="3">
        <v>83</v>
      </c>
      <c r="E362" s="3">
        <v>76</v>
      </c>
      <c r="F362" s="3">
        <v>7</v>
      </c>
      <c r="G362" s="3" t="str">
        <f t="shared" si="10"/>
        <v>2025-04</v>
      </c>
      <c r="H362" s="26">
        <f t="shared" si="11"/>
        <v>0.91566265060240959</v>
      </c>
    </row>
    <row r="363" spans="1:8" ht="17.399999999999999">
      <c r="A363" s="25">
        <v>45748</v>
      </c>
      <c r="B363" s="3" t="s">
        <v>8</v>
      </c>
      <c r="C363" s="3" t="s">
        <v>369</v>
      </c>
      <c r="D363" s="3">
        <v>49</v>
      </c>
      <c r="E363" s="3">
        <v>48</v>
      </c>
      <c r="F363" s="3">
        <v>1</v>
      </c>
      <c r="G363" s="3" t="str">
        <f t="shared" si="10"/>
        <v>2025-04</v>
      </c>
      <c r="H363" s="26">
        <f t="shared" si="11"/>
        <v>0.97959183673469385</v>
      </c>
    </row>
    <row r="364" spans="1:8" ht="17.399999999999999">
      <c r="A364" s="25">
        <v>45748</v>
      </c>
      <c r="B364" s="3" t="s">
        <v>10</v>
      </c>
      <c r="C364" s="3" t="s">
        <v>370</v>
      </c>
      <c r="D364" s="3">
        <v>78</v>
      </c>
      <c r="E364" s="3">
        <v>62</v>
      </c>
      <c r="F364" s="3">
        <v>16</v>
      </c>
      <c r="G364" s="3" t="str">
        <f t="shared" si="10"/>
        <v>2025-04</v>
      </c>
      <c r="H364" s="26">
        <f t="shared" si="11"/>
        <v>0.79487179487179482</v>
      </c>
    </row>
    <row r="365" spans="1:8" ht="17.399999999999999">
      <c r="A365" s="25">
        <v>45748</v>
      </c>
      <c r="B365" s="3" t="s">
        <v>12</v>
      </c>
      <c r="C365" s="3" t="s">
        <v>371</v>
      </c>
      <c r="D365" s="3">
        <v>79</v>
      </c>
      <c r="E365" s="3">
        <v>64</v>
      </c>
      <c r="F365" s="3">
        <v>15</v>
      </c>
      <c r="G365" s="3" t="str">
        <f t="shared" si="10"/>
        <v>2025-04</v>
      </c>
      <c r="H365" s="26">
        <f t="shared" si="11"/>
        <v>0.810126582278481</v>
      </c>
    </row>
    <row r="366" spans="1:8" ht="17.399999999999999">
      <c r="A366" s="25">
        <v>45749</v>
      </c>
      <c r="B366" s="3" t="s">
        <v>6</v>
      </c>
      <c r="C366" s="3" t="s">
        <v>372</v>
      </c>
      <c r="D366" s="3">
        <v>40</v>
      </c>
      <c r="E366" s="3">
        <v>29</v>
      </c>
      <c r="F366" s="3">
        <v>11</v>
      </c>
      <c r="G366" s="3" t="str">
        <f t="shared" si="10"/>
        <v>2025-04</v>
      </c>
      <c r="H366" s="26">
        <f t="shared" si="11"/>
        <v>0.72499999999999998</v>
      </c>
    </row>
    <row r="367" spans="1:8" ht="17.399999999999999">
      <c r="A367" s="25">
        <v>45749</v>
      </c>
      <c r="B367" s="3" t="s">
        <v>8</v>
      </c>
      <c r="C367" s="3" t="s">
        <v>373</v>
      </c>
      <c r="D367" s="3">
        <v>64</v>
      </c>
      <c r="E367" s="3">
        <v>62</v>
      </c>
      <c r="F367" s="3">
        <v>2</v>
      </c>
      <c r="G367" s="3" t="str">
        <f t="shared" si="10"/>
        <v>2025-04</v>
      </c>
      <c r="H367" s="26">
        <f t="shared" si="11"/>
        <v>0.96875</v>
      </c>
    </row>
    <row r="368" spans="1:8" ht="17.399999999999999">
      <c r="A368" s="25">
        <v>45749</v>
      </c>
      <c r="B368" s="3" t="s">
        <v>10</v>
      </c>
      <c r="C368" s="3" t="s">
        <v>374</v>
      </c>
      <c r="D368" s="3">
        <v>74</v>
      </c>
      <c r="E368" s="3">
        <v>73</v>
      </c>
      <c r="F368" s="3">
        <v>1</v>
      </c>
      <c r="G368" s="3" t="str">
        <f t="shared" si="10"/>
        <v>2025-04</v>
      </c>
      <c r="H368" s="26">
        <f t="shared" si="11"/>
        <v>0.98648648648648651</v>
      </c>
    </row>
    <row r="369" spans="1:8" ht="17.399999999999999">
      <c r="A369" s="25">
        <v>45749</v>
      </c>
      <c r="B369" s="3" t="s">
        <v>12</v>
      </c>
      <c r="C369" s="3" t="s">
        <v>375</v>
      </c>
      <c r="D369" s="3">
        <v>78</v>
      </c>
      <c r="E369" s="3">
        <v>63</v>
      </c>
      <c r="F369" s="3">
        <v>15</v>
      </c>
      <c r="G369" s="3" t="str">
        <f t="shared" si="10"/>
        <v>2025-04</v>
      </c>
      <c r="H369" s="26">
        <f t="shared" si="11"/>
        <v>0.80769230769230771</v>
      </c>
    </row>
    <row r="370" spans="1:8" ht="17.399999999999999">
      <c r="A370" s="25">
        <v>45750</v>
      </c>
      <c r="B370" s="3" t="s">
        <v>6</v>
      </c>
      <c r="C370" s="3" t="s">
        <v>376</v>
      </c>
      <c r="D370" s="3">
        <v>69</v>
      </c>
      <c r="E370" s="3">
        <v>63</v>
      </c>
      <c r="F370" s="3">
        <v>6</v>
      </c>
      <c r="G370" s="3" t="str">
        <f t="shared" si="10"/>
        <v>2025-04</v>
      </c>
      <c r="H370" s="26">
        <f t="shared" si="11"/>
        <v>0.91304347826086951</v>
      </c>
    </row>
    <row r="371" spans="1:8" ht="17.399999999999999">
      <c r="A371" s="25">
        <v>45750</v>
      </c>
      <c r="B371" s="3" t="s">
        <v>8</v>
      </c>
      <c r="C371" s="3" t="s">
        <v>377</v>
      </c>
      <c r="D371" s="3">
        <v>50</v>
      </c>
      <c r="E371" s="3">
        <v>47</v>
      </c>
      <c r="F371" s="3">
        <v>3</v>
      </c>
      <c r="G371" s="3" t="str">
        <f t="shared" si="10"/>
        <v>2025-04</v>
      </c>
      <c r="H371" s="26">
        <f t="shared" si="11"/>
        <v>0.94</v>
      </c>
    </row>
    <row r="372" spans="1:8" ht="17.399999999999999">
      <c r="A372" s="25">
        <v>45750</v>
      </c>
      <c r="B372" s="3" t="s">
        <v>10</v>
      </c>
      <c r="C372" s="3" t="s">
        <v>378</v>
      </c>
      <c r="D372" s="3">
        <v>93</v>
      </c>
      <c r="E372" s="3">
        <v>74</v>
      </c>
      <c r="F372" s="3">
        <v>19</v>
      </c>
      <c r="G372" s="3" t="str">
        <f t="shared" si="10"/>
        <v>2025-04</v>
      </c>
      <c r="H372" s="26">
        <f t="shared" si="11"/>
        <v>0.79569892473118276</v>
      </c>
    </row>
    <row r="373" spans="1:8" ht="17.399999999999999">
      <c r="A373" s="25">
        <v>45750</v>
      </c>
      <c r="B373" s="3" t="s">
        <v>12</v>
      </c>
      <c r="C373" s="3" t="s">
        <v>379</v>
      </c>
      <c r="D373" s="3">
        <v>22</v>
      </c>
      <c r="E373" s="3">
        <v>21</v>
      </c>
      <c r="F373" s="3">
        <v>1</v>
      </c>
      <c r="G373" s="3" t="str">
        <f t="shared" si="10"/>
        <v>2025-04</v>
      </c>
      <c r="H373" s="26">
        <f t="shared" si="11"/>
        <v>0.95454545454545459</v>
      </c>
    </row>
    <row r="374" spans="1:8" ht="17.399999999999999">
      <c r="A374" s="25">
        <v>45751</v>
      </c>
      <c r="B374" s="3" t="s">
        <v>6</v>
      </c>
      <c r="C374" s="3" t="s">
        <v>380</v>
      </c>
      <c r="D374" s="3">
        <v>21</v>
      </c>
      <c r="E374" s="3">
        <v>14</v>
      </c>
      <c r="F374" s="3">
        <v>7</v>
      </c>
      <c r="G374" s="3" t="str">
        <f t="shared" si="10"/>
        <v>2025-04</v>
      </c>
      <c r="H374" s="26">
        <f t="shared" si="11"/>
        <v>0.66666666666666663</v>
      </c>
    </row>
    <row r="375" spans="1:8" ht="17.399999999999999">
      <c r="A375" s="25">
        <v>45751</v>
      </c>
      <c r="B375" s="3" t="s">
        <v>8</v>
      </c>
      <c r="C375" s="3" t="s">
        <v>381</v>
      </c>
      <c r="D375" s="3">
        <v>56</v>
      </c>
      <c r="E375" s="3">
        <v>46</v>
      </c>
      <c r="F375" s="3">
        <v>10</v>
      </c>
      <c r="G375" s="3" t="str">
        <f t="shared" si="10"/>
        <v>2025-04</v>
      </c>
      <c r="H375" s="26">
        <f t="shared" si="11"/>
        <v>0.8214285714285714</v>
      </c>
    </row>
    <row r="376" spans="1:8" ht="17.399999999999999">
      <c r="A376" s="25">
        <v>45751</v>
      </c>
      <c r="B376" s="3" t="s">
        <v>10</v>
      </c>
      <c r="C376" s="3" t="s">
        <v>382</v>
      </c>
      <c r="D376" s="3">
        <v>48</v>
      </c>
      <c r="E376" s="3">
        <v>39</v>
      </c>
      <c r="F376" s="3">
        <v>9</v>
      </c>
      <c r="G376" s="3" t="str">
        <f t="shared" si="10"/>
        <v>2025-04</v>
      </c>
      <c r="H376" s="26">
        <f t="shared" si="11"/>
        <v>0.8125</v>
      </c>
    </row>
    <row r="377" spans="1:8" ht="17.399999999999999">
      <c r="A377" s="25">
        <v>45751</v>
      </c>
      <c r="B377" s="3" t="s">
        <v>12</v>
      </c>
      <c r="C377" s="3" t="s">
        <v>383</v>
      </c>
      <c r="D377" s="3">
        <v>37</v>
      </c>
      <c r="E377" s="3">
        <v>35</v>
      </c>
      <c r="F377" s="3">
        <v>2</v>
      </c>
      <c r="G377" s="3" t="str">
        <f t="shared" si="10"/>
        <v>2025-04</v>
      </c>
      <c r="H377" s="26">
        <f t="shared" si="11"/>
        <v>0.94594594594594594</v>
      </c>
    </row>
    <row r="378" spans="1:8" ht="17.399999999999999">
      <c r="A378" s="25">
        <v>45752</v>
      </c>
      <c r="B378" s="3" t="s">
        <v>6</v>
      </c>
      <c r="C378" s="3" t="s">
        <v>384</v>
      </c>
      <c r="D378" s="3">
        <v>100</v>
      </c>
      <c r="E378" s="3">
        <v>90</v>
      </c>
      <c r="F378" s="3">
        <v>10</v>
      </c>
      <c r="G378" s="3" t="str">
        <f t="shared" si="10"/>
        <v>2025-04</v>
      </c>
      <c r="H378" s="26">
        <f t="shared" si="11"/>
        <v>0.9</v>
      </c>
    </row>
    <row r="379" spans="1:8" ht="17.399999999999999">
      <c r="A379" s="25">
        <v>45752</v>
      </c>
      <c r="B379" s="3" t="s">
        <v>8</v>
      </c>
      <c r="C379" s="3" t="s">
        <v>385</v>
      </c>
      <c r="D379" s="3">
        <v>59</v>
      </c>
      <c r="E379" s="3">
        <v>55</v>
      </c>
      <c r="F379" s="3">
        <v>4</v>
      </c>
      <c r="G379" s="3" t="str">
        <f t="shared" si="10"/>
        <v>2025-04</v>
      </c>
      <c r="H379" s="26">
        <f t="shared" si="11"/>
        <v>0.93220338983050843</v>
      </c>
    </row>
    <row r="380" spans="1:8" ht="17.399999999999999">
      <c r="A380" s="25">
        <v>45752</v>
      </c>
      <c r="B380" s="3" t="s">
        <v>10</v>
      </c>
      <c r="C380" s="3" t="s">
        <v>386</v>
      </c>
      <c r="D380" s="3">
        <v>94</v>
      </c>
      <c r="E380" s="3">
        <v>76</v>
      </c>
      <c r="F380" s="3">
        <v>18</v>
      </c>
      <c r="G380" s="3" t="str">
        <f t="shared" si="10"/>
        <v>2025-04</v>
      </c>
      <c r="H380" s="26">
        <f t="shared" si="11"/>
        <v>0.80851063829787229</v>
      </c>
    </row>
    <row r="381" spans="1:8" ht="17.399999999999999">
      <c r="A381" s="25">
        <v>45752</v>
      </c>
      <c r="B381" s="3" t="s">
        <v>12</v>
      </c>
      <c r="C381" s="3" t="s">
        <v>387</v>
      </c>
      <c r="D381" s="3">
        <v>31</v>
      </c>
      <c r="E381" s="3">
        <v>25</v>
      </c>
      <c r="F381" s="3">
        <v>6</v>
      </c>
      <c r="G381" s="3" t="str">
        <f t="shared" si="10"/>
        <v>2025-04</v>
      </c>
      <c r="H381" s="26">
        <f t="shared" si="11"/>
        <v>0.80645161290322576</v>
      </c>
    </row>
    <row r="382" spans="1:8" ht="17.399999999999999">
      <c r="A382" s="25">
        <v>45753</v>
      </c>
      <c r="B382" s="3" t="s">
        <v>6</v>
      </c>
      <c r="C382" s="3" t="s">
        <v>388</v>
      </c>
      <c r="D382" s="3">
        <v>73</v>
      </c>
      <c r="E382" s="3">
        <v>56</v>
      </c>
      <c r="F382" s="3">
        <v>17</v>
      </c>
      <c r="G382" s="3" t="str">
        <f t="shared" si="10"/>
        <v>2025-04</v>
      </c>
      <c r="H382" s="26">
        <f t="shared" si="11"/>
        <v>0.76712328767123283</v>
      </c>
    </row>
    <row r="383" spans="1:8" ht="17.399999999999999">
      <c r="A383" s="25">
        <v>45753</v>
      </c>
      <c r="B383" s="3" t="s">
        <v>8</v>
      </c>
      <c r="C383" s="3" t="s">
        <v>389</v>
      </c>
      <c r="D383" s="3">
        <v>36</v>
      </c>
      <c r="E383" s="3">
        <v>33</v>
      </c>
      <c r="F383" s="3">
        <v>3</v>
      </c>
      <c r="G383" s="3" t="str">
        <f t="shared" si="10"/>
        <v>2025-04</v>
      </c>
      <c r="H383" s="26">
        <f t="shared" si="11"/>
        <v>0.91666666666666663</v>
      </c>
    </row>
    <row r="384" spans="1:8" ht="17.399999999999999">
      <c r="A384" s="25">
        <v>45753</v>
      </c>
      <c r="B384" s="3" t="s">
        <v>10</v>
      </c>
      <c r="C384" s="3" t="s">
        <v>390</v>
      </c>
      <c r="D384" s="3">
        <v>87</v>
      </c>
      <c r="E384" s="3">
        <v>76</v>
      </c>
      <c r="F384" s="3">
        <v>11</v>
      </c>
      <c r="G384" s="3" t="str">
        <f t="shared" si="10"/>
        <v>2025-04</v>
      </c>
      <c r="H384" s="26">
        <f t="shared" si="11"/>
        <v>0.87356321839080464</v>
      </c>
    </row>
    <row r="385" spans="1:8" ht="17.399999999999999">
      <c r="A385" s="25">
        <v>45753</v>
      </c>
      <c r="B385" s="3" t="s">
        <v>12</v>
      </c>
      <c r="C385" s="3" t="s">
        <v>391</v>
      </c>
      <c r="D385" s="3">
        <v>41</v>
      </c>
      <c r="E385" s="3">
        <v>32</v>
      </c>
      <c r="F385" s="3">
        <v>9</v>
      </c>
      <c r="G385" s="3" t="str">
        <f t="shared" si="10"/>
        <v>2025-04</v>
      </c>
      <c r="H385" s="26">
        <f t="shared" si="11"/>
        <v>0.78048780487804881</v>
      </c>
    </row>
    <row r="386" spans="1:8" ht="17.399999999999999">
      <c r="A386" s="25">
        <v>45754</v>
      </c>
      <c r="B386" s="3" t="s">
        <v>6</v>
      </c>
      <c r="C386" s="3" t="s">
        <v>392</v>
      </c>
      <c r="D386" s="3">
        <v>57</v>
      </c>
      <c r="E386" s="3">
        <v>49</v>
      </c>
      <c r="F386" s="3">
        <v>8</v>
      </c>
      <c r="G386" s="3" t="str">
        <f t="shared" si="10"/>
        <v>2025-04</v>
      </c>
      <c r="H386" s="26">
        <f t="shared" si="11"/>
        <v>0.85964912280701755</v>
      </c>
    </row>
    <row r="387" spans="1:8" ht="17.399999999999999">
      <c r="A387" s="25">
        <v>45754</v>
      </c>
      <c r="B387" s="3" t="s">
        <v>8</v>
      </c>
      <c r="C387" s="3" t="s">
        <v>393</v>
      </c>
      <c r="D387" s="3">
        <v>79</v>
      </c>
      <c r="E387" s="3">
        <v>57</v>
      </c>
      <c r="F387" s="3">
        <v>22</v>
      </c>
      <c r="G387" s="3" t="str">
        <f t="shared" ref="G387:G450" si="12">TEXT(A387,"yyyy-mm")</f>
        <v>2025-04</v>
      </c>
      <c r="H387" s="26">
        <f t="shared" ref="H387:H450" si="13">E387/D387</f>
        <v>0.72151898734177211</v>
      </c>
    </row>
    <row r="388" spans="1:8" ht="17.399999999999999">
      <c r="A388" s="25">
        <v>45754</v>
      </c>
      <c r="B388" s="3" t="s">
        <v>10</v>
      </c>
      <c r="C388" s="3" t="s">
        <v>394</v>
      </c>
      <c r="D388" s="3">
        <v>48</v>
      </c>
      <c r="E388" s="3">
        <v>45</v>
      </c>
      <c r="F388" s="3">
        <v>3</v>
      </c>
      <c r="G388" s="3" t="str">
        <f t="shared" si="12"/>
        <v>2025-04</v>
      </c>
      <c r="H388" s="26">
        <f t="shared" si="13"/>
        <v>0.9375</v>
      </c>
    </row>
    <row r="389" spans="1:8" ht="17.399999999999999">
      <c r="A389" s="25">
        <v>45754</v>
      </c>
      <c r="B389" s="3" t="s">
        <v>12</v>
      </c>
      <c r="C389" s="3" t="s">
        <v>395</v>
      </c>
      <c r="D389" s="3">
        <v>31</v>
      </c>
      <c r="E389" s="3">
        <v>27</v>
      </c>
      <c r="F389" s="3">
        <v>4</v>
      </c>
      <c r="G389" s="3" t="str">
        <f t="shared" si="12"/>
        <v>2025-04</v>
      </c>
      <c r="H389" s="26">
        <f t="shared" si="13"/>
        <v>0.87096774193548387</v>
      </c>
    </row>
    <row r="390" spans="1:8" ht="17.399999999999999">
      <c r="A390" s="25">
        <v>45755</v>
      </c>
      <c r="B390" s="3" t="s">
        <v>6</v>
      </c>
      <c r="C390" s="3" t="s">
        <v>396</v>
      </c>
      <c r="D390" s="3">
        <v>53</v>
      </c>
      <c r="E390" s="3">
        <v>40</v>
      </c>
      <c r="F390" s="3">
        <v>13</v>
      </c>
      <c r="G390" s="3" t="str">
        <f t="shared" si="12"/>
        <v>2025-04</v>
      </c>
      <c r="H390" s="26">
        <f t="shared" si="13"/>
        <v>0.75471698113207553</v>
      </c>
    </row>
    <row r="391" spans="1:8" ht="17.399999999999999">
      <c r="A391" s="25">
        <v>45755</v>
      </c>
      <c r="B391" s="3" t="s">
        <v>8</v>
      </c>
      <c r="C391" s="3" t="s">
        <v>397</v>
      </c>
      <c r="D391" s="3">
        <v>67</v>
      </c>
      <c r="E391" s="3">
        <v>67</v>
      </c>
      <c r="F391" s="3">
        <v>0</v>
      </c>
      <c r="G391" s="3" t="str">
        <f t="shared" si="12"/>
        <v>2025-04</v>
      </c>
      <c r="H391" s="26">
        <f t="shared" si="13"/>
        <v>1</v>
      </c>
    </row>
    <row r="392" spans="1:8" ht="17.399999999999999">
      <c r="A392" s="25">
        <v>45755</v>
      </c>
      <c r="B392" s="3" t="s">
        <v>10</v>
      </c>
      <c r="C392" s="3" t="s">
        <v>398</v>
      </c>
      <c r="D392" s="3">
        <v>94</v>
      </c>
      <c r="E392" s="3">
        <v>77</v>
      </c>
      <c r="F392" s="3">
        <v>17</v>
      </c>
      <c r="G392" s="3" t="str">
        <f t="shared" si="12"/>
        <v>2025-04</v>
      </c>
      <c r="H392" s="26">
        <f t="shared" si="13"/>
        <v>0.81914893617021278</v>
      </c>
    </row>
    <row r="393" spans="1:8" ht="17.399999999999999">
      <c r="A393" s="25">
        <v>45755</v>
      </c>
      <c r="B393" s="3" t="s">
        <v>12</v>
      </c>
      <c r="C393" s="3" t="s">
        <v>399</v>
      </c>
      <c r="D393" s="3">
        <v>33</v>
      </c>
      <c r="E393" s="3">
        <v>33</v>
      </c>
      <c r="F393" s="3">
        <v>0</v>
      </c>
      <c r="G393" s="3" t="str">
        <f t="shared" si="12"/>
        <v>2025-04</v>
      </c>
      <c r="H393" s="26">
        <f t="shared" si="13"/>
        <v>1</v>
      </c>
    </row>
    <row r="394" spans="1:8" ht="17.399999999999999">
      <c r="A394" s="25">
        <v>45756</v>
      </c>
      <c r="B394" s="3" t="s">
        <v>6</v>
      </c>
      <c r="C394" s="3" t="s">
        <v>400</v>
      </c>
      <c r="D394" s="3">
        <v>80</v>
      </c>
      <c r="E394" s="3">
        <v>56</v>
      </c>
      <c r="F394" s="3">
        <v>24</v>
      </c>
      <c r="G394" s="3" t="str">
        <f t="shared" si="12"/>
        <v>2025-04</v>
      </c>
      <c r="H394" s="26">
        <f t="shared" si="13"/>
        <v>0.7</v>
      </c>
    </row>
    <row r="395" spans="1:8" ht="17.399999999999999">
      <c r="A395" s="25">
        <v>45756</v>
      </c>
      <c r="B395" s="3" t="s">
        <v>8</v>
      </c>
      <c r="C395" s="3" t="s">
        <v>401</v>
      </c>
      <c r="D395" s="3">
        <v>98</v>
      </c>
      <c r="E395" s="3">
        <v>75</v>
      </c>
      <c r="F395" s="3">
        <v>23</v>
      </c>
      <c r="G395" s="3" t="str">
        <f t="shared" si="12"/>
        <v>2025-04</v>
      </c>
      <c r="H395" s="26">
        <f t="shared" si="13"/>
        <v>0.76530612244897955</v>
      </c>
    </row>
    <row r="396" spans="1:8" ht="17.399999999999999">
      <c r="A396" s="25">
        <v>45756</v>
      </c>
      <c r="B396" s="3" t="s">
        <v>10</v>
      </c>
      <c r="C396" s="3" t="s">
        <v>402</v>
      </c>
      <c r="D396" s="3">
        <v>79</v>
      </c>
      <c r="E396" s="3">
        <v>77</v>
      </c>
      <c r="F396" s="3">
        <v>2</v>
      </c>
      <c r="G396" s="3" t="str">
        <f t="shared" si="12"/>
        <v>2025-04</v>
      </c>
      <c r="H396" s="26">
        <f t="shared" si="13"/>
        <v>0.97468354430379744</v>
      </c>
    </row>
    <row r="397" spans="1:8" ht="17.399999999999999">
      <c r="A397" s="25">
        <v>45756</v>
      </c>
      <c r="B397" s="3" t="s">
        <v>12</v>
      </c>
      <c r="C397" s="3" t="s">
        <v>403</v>
      </c>
      <c r="D397" s="3">
        <v>72</v>
      </c>
      <c r="E397" s="3">
        <v>53</v>
      </c>
      <c r="F397" s="3">
        <v>19</v>
      </c>
      <c r="G397" s="3" t="str">
        <f t="shared" si="12"/>
        <v>2025-04</v>
      </c>
      <c r="H397" s="26">
        <f t="shared" si="13"/>
        <v>0.73611111111111116</v>
      </c>
    </row>
    <row r="398" spans="1:8" ht="17.399999999999999">
      <c r="A398" s="25">
        <v>45757</v>
      </c>
      <c r="B398" s="3" t="s">
        <v>6</v>
      </c>
      <c r="C398" s="3" t="s">
        <v>404</v>
      </c>
      <c r="D398" s="3">
        <v>25</v>
      </c>
      <c r="E398" s="3">
        <v>17</v>
      </c>
      <c r="F398" s="3">
        <v>8</v>
      </c>
      <c r="G398" s="3" t="str">
        <f t="shared" si="12"/>
        <v>2025-04</v>
      </c>
      <c r="H398" s="26">
        <f t="shared" si="13"/>
        <v>0.68</v>
      </c>
    </row>
    <row r="399" spans="1:8" ht="17.399999999999999">
      <c r="A399" s="25">
        <v>45757</v>
      </c>
      <c r="B399" s="3" t="s">
        <v>8</v>
      </c>
      <c r="C399" s="3" t="s">
        <v>405</v>
      </c>
      <c r="D399" s="3">
        <v>83</v>
      </c>
      <c r="E399" s="3">
        <v>61</v>
      </c>
      <c r="F399" s="3">
        <v>22</v>
      </c>
      <c r="G399" s="3" t="str">
        <f t="shared" si="12"/>
        <v>2025-04</v>
      </c>
      <c r="H399" s="26">
        <f t="shared" si="13"/>
        <v>0.73493975903614461</v>
      </c>
    </row>
    <row r="400" spans="1:8" ht="17.399999999999999">
      <c r="A400" s="25">
        <v>45757</v>
      </c>
      <c r="B400" s="3" t="s">
        <v>10</v>
      </c>
      <c r="C400" s="3" t="s">
        <v>406</v>
      </c>
      <c r="D400" s="3">
        <v>50</v>
      </c>
      <c r="E400" s="3">
        <v>39</v>
      </c>
      <c r="F400" s="3">
        <v>11</v>
      </c>
      <c r="G400" s="3" t="str">
        <f t="shared" si="12"/>
        <v>2025-04</v>
      </c>
      <c r="H400" s="26">
        <f t="shared" si="13"/>
        <v>0.78</v>
      </c>
    </row>
    <row r="401" spans="1:8" ht="17.399999999999999">
      <c r="A401" s="25">
        <v>45757</v>
      </c>
      <c r="B401" s="3" t="s">
        <v>12</v>
      </c>
      <c r="C401" s="3" t="s">
        <v>407</v>
      </c>
      <c r="D401" s="3">
        <v>78</v>
      </c>
      <c r="E401" s="3">
        <v>65</v>
      </c>
      <c r="F401" s="3">
        <v>13</v>
      </c>
      <c r="G401" s="3" t="str">
        <f t="shared" si="12"/>
        <v>2025-04</v>
      </c>
      <c r="H401" s="26">
        <f t="shared" si="13"/>
        <v>0.83333333333333337</v>
      </c>
    </row>
    <row r="402" spans="1:8" ht="17.399999999999999">
      <c r="A402" s="25">
        <v>45758</v>
      </c>
      <c r="B402" s="3" t="s">
        <v>6</v>
      </c>
      <c r="C402" s="3" t="s">
        <v>408</v>
      </c>
      <c r="D402" s="3">
        <v>73</v>
      </c>
      <c r="E402" s="3">
        <v>69</v>
      </c>
      <c r="F402" s="3">
        <v>4</v>
      </c>
      <c r="G402" s="3" t="str">
        <f t="shared" si="12"/>
        <v>2025-04</v>
      </c>
      <c r="H402" s="26">
        <f t="shared" si="13"/>
        <v>0.9452054794520548</v>
      </c>
    </row>
    <row r="403" spans="1:8" ht="17.399999999999999">
      <c r="A403" s="25">
        <v>45758</v>
      </c>
      <c r="B403" s="3" t="s">
        <v>8</v>
      </c>
      <c r="C403" s="3" t="s">
        <v>409</v>
      </c>
      <c r="D403" s="3">
        <v>73</v>
      </c>
      <c r="E403" s="3">
        <v>71</v>
      </c>
      <c r="F403" s="3">
        <v>2</v>
      </c>
      <c r="G403" s="3" t="str">
        <f t="shared" si="12"/>
        <v>2025-04</v>
      </c>
      <c r="H403" s="26">
        <f t="shared" si="13"/>
        <v>0.9726027397260274</v>
      </c>
    </row>
    <row r="404" spans="1:8" ht="17.399999999999999">
      <c r="A404" s="25">
        <v>45758</v>
      </c>
      <c r="B404" s="3" t="s">
        <v>10</v>
      </c>
      <c r="C404" s="3" t="s">
        <v>410</v>
      </c>
      <c r="D404" s="3">
        <v>82</v>
      </c>
      <c r="E404" s="3">
        <v>76</v>
      </c>
      <c r="F404" s="3">
        <v>6</v>
      </c>
      <c r="G404" s="3" t="str">
        <f t="shared" si="12"/>
        <v>2025-04</v>
      </c>
      <c r="H404" s="26">
        <f t="shared" si="13"/>
        <v>0.92682926829268297</v>
      </c>
    </row>
    <row r="405" spans="1:8" ht="17.399999999999999">
      <c r="A405" s="25">
        <v>45758</v>
      </c>
      <c r="B405" s="3" t="s">
        <v>12</v>
      </c>
      <c r="C405" s="3" t="s">
        <v>411</v>
      </c>
      <c r="D405" s="3">
        <v>55</v>
      </c>
      <c r="E405" s="3">
        <v>39</v>
      </c>
      <c r="F405" s="3">
        <v>16</v>
      </c>
      <c r="G405" s="3" t="str">
        <f t="shared" si="12"/>
        <v>2025-04</v>
      </c>
      <c r="H405" s="26">
        <f t="shared" si="13"/>
        <v>0.70909090909090911</v>
      </c>
    </row>
    <row r="406" spans="1:8" ht="17.399999999999999">
      <c r="A406" s="25">
        <v>45759</v>
      </c>
      <c r="B406" s="3" t="s">
        <v>6</v>
      </c>
      <c r="C406" s="3" t="s">
        <v>412</v>
      </c>
      <c r="D406" s="3">
        <v>47</v>
      </c>
      <c r="E406" s="3">
        <v>46</v>
      </c>
      <c r="F406" s="3">
        <v>1</v>
      </c>
      <c r="G406" s="3" t="str">
        <f t="shared" si="12"/>
        <v>2025-04</v>
      </c>
      <c r="H406" s="26">
        <f t="shared" si="13"/>
        <v>0.97872340425531912</v>
      </c>
    </row>
    <row r="407" spans="1:8" ht="17.399999999999999">
      <c r="A407" s="25">
        <v>45759</v>
      </c>
      <c r="B407" s="3" t="s">
        <v>8</v>
      </c>
      <c r="C407" s="3" t="s">
        <v>413</v>
      </c>
      <c r="D407" s="3">
        <v>50</v>
      </c>
      <c r="E407" s="3">
        <v>46</v>
      </c>
      <c r="F407" s="3">
        <v>4</v>
      </c>
      <c r="G407" s="3" t="str">
        <f t="shared" si="12"/>
        <v>2025-04</v>
      </c>
      <c r="H407" s="26">
        <f t="shared" si="13"/>
        <v>0.92</v>
      </c>
    </row>
    <row r="408" spans="1:8" ht="17.399999999999999">
      <c r="A408" s="25">
        <v>45759</v>
      </c>
      <c r="B408" s="3" t="s">
        <v>10</v>
      </c>
      <c r="C408" s="3" t="s">
        <v>414</v>
      </c>
      <c r="D408" s="3">
        <v>67</v>
      </c>
      <c r="E408" s="3">
        <v>63</v>
      </c>
      <c r="F408" s="3">
        <v>4</v>
      </c>
      <c r="G408" s="3" t="str">
        <f t="shared" si="12"/>
        <v>2025-04</v>
      </c>
      <c r="H408" s="26">
        <f t="shared" si="13"/>
        <v>0.94029850746268662</v>
      </c>
    </row>
    <row r="409" spans="1:8" ht="17.399999999999999">
      <c r="A409" s="25">
        <v>45759</v>
      </c>
      <c r="B409" s="3" t="s">
        <v>12</v>
      </c>
      <c r="C409" s="3" t="s">
        <v>415</v>
      </c>
      <c r="D409" s="3">
        <v>27</v>
      </c>
      <c r="E409" s="3">
        <v>24</v>
      </c>
      <c r="F409" s="3">
        <v>3</v>
      </c>
      <c r="G409" s="3" t="str">
        <f t="shared" si="12"/>
        <v>2025-04</v>
      </c>
      <c r="H409" s="26">
        <f t="shared" si="13"/>
        <v>0.88888888888888884</v>
      </c>
    </row>
    <row r="410" spans="1:8" ht="17.399999999999999">
      <c r="A410" s="25">
        <v>45760</v>
      </c>
      <c r="B410" s="3" t="s">
        <v>6</v>
      </c>
      <c r="C410" s="3" t="s">
        <v>416</v>
      </c>
      <c r="D410" s="3">
        <v>44</v>
      </c>
      <c r="E410" s="3">
        <v>31</v>
      </c>
      <c r="F410" s="3">
        <v>13</v>
      </c>
      <c r="G410" s="3" t="str">
        <f t="shared" si="12"/>
        <v>2025-04</v>
      </c>
      <c r="H410" s="26">
        <f t="shared" si="13"/>
        <v>0.70454545454545459</v>
      </c>
    </row>
    <row r="411" spans="1:8" ht="17.399999999999999">
      <c r="A411" s="25">
        <v>45760</v>
      </c>
      <c r="B411" s="3" t="s">
        <v>8</v>
      </c>
      <c r="C411" s="3" t="s">
        <v>417</v>
      </c>
      <c r="D411" s="3">
        <v>31</v>
      </c>
      <c r="E411" s="3">
        <v>31</v>
      </c>
      <c r="F411" s="3">
        <v>0</v>
      </c>
      <c r="G411" s="3" t="str">
        <f t="shared" si="12"/>
        <v>2025-04</v>
      </c>
      <c r="H411" s="26">
        <f t="shared" si="13"/>
        <v>1</v>
      </c>
    </row>
    <row r="412" spans="1:8" ht="17.399999999999999">
      <c r="A412" s="25">
        <v>45760</v>
      </c>
      <c r="B412" s="3" t="s">
        <v>10</v>
      </c>
      <c r="C412" s="3" t="s">
        <v>418</v>
      </c>
      <c r="D412" s="3">
        <v>96</v>
      </c>
      <c r="E412" s="3">
        <v>67</v>
      </c>
      <c r="F412" s="3">
        <v>29</v>
      </c>
      <c r="G412" s="3" t="str">
        <f t="shared" si="12"/>
        <v>2025-04</v>
      </c>
      <c r="H412" s="26">
        <f t="shared" si="13"/>
        <v>0.69791666666666663</v>
      </c>
    </row>
    <row r="413" spans="1:8" ht="17.399999999999999">
      <c r="A413" s="25">
        <v>45760</v>
      </c>
      <c r="B413" s="3" t="s">
        <v>12</v>
      </c>
      <c r="C413" s="3" t="s">
        <v>93</v>
      </c>
      <c r="D413" s="3">
        <v>62</v>
      </c>
      <c r="E413" s="3">
        <v>50</v>
      </c>
      <c r="F413" s="3">
        <v>12</v>
      </c>
      <c r="G413" s="3" t="str">
        <f t="shared" si="12"/>
        <v>2025-04</v>
      </c>
      <c r="H413" s="26">
        <f t="shared" si="13"/>
        <v>0.80645161290322576</v>
      </c>
    </row>
    <row r="414" spans="1:8" ht="17.399999999999999">
      <c r="A414" s="25">
        <v>45761</v>
      </c>
      <c r="B414" s="3" t="s">
        <v>6</v>
      </c>
      <c r="C414" s="3" t="s">
        <v>419</v>
      </c>
      <c r="D414" s="3">
        <v>92</v>
      </c>
      <c r="E414" s="3">
        <v>70</v>
      </c>
      <c r="F414" s="3">
        <v>22</v>
      </c>
      <c r="G414" s="3" t="str">
        <f t="shared" si="12"/>
        <v>2025-04</v>
      </c>
      <c r="H414" s="26">
        <f t="shared" si="13"/>
        <v>0.76086956521739135</v>
      </c>
    </row>
    <row r="415" spans="1:8" ht="17.399999999999999">
      <c r="A415" s="25">
        <v>45761</v>
      </c>
      <c r="B415" s="3" t="s">
        <v>8</v>
      </c>
      <c r="C415" s="3" t="s">
        <v>420</v>
      </c>
      <c r="D415" s="3">
        <v>90</v>
      </c>
      <c r="E415" s="3">
        <v>68</v>
      </c>
      <c r="F415" s="3">
        <v>22</v>
      </c>
      <c r="G415" s="3" t="str">
        <f t="shared" si="12"/>
        <v>2025-04</v>
      </c>
      <c r="H415" s="26">
        <f t="shared" si="13"/>
        <v>0.75555555555555554</v>
      </c>
    </row>
    <row r="416" spans="1:8" ht="17.399999999999999">
      <c r="A416" s="25">
        <v>45761</v>
      </c>
      <c r="B416" s="3" t="s">
        <v>10</v>
      </c>
      <c r="C416" s="3" t="s">
        <v>421</v>
      </c>
      <c r="D416" s="3">
        <v>49</v>
      </c>
      <c r="E416" s="3">
        <v>44</v>
      </c>
      <c r="F416" s="3">
        <v>5</v>
      </c>
      <c r="G416" s="3" t="str">
        <f t="shared" si="12"/>
        <v>2025-04</v>
      </c>
      <c r="H416" s="26">
        <f t="shared" si="13"/>
        <v>0.89795918367346939</v>
      </c>
    </row>
    <row r="417" spans="1:8" ht="17.399999999999999">
      <c r="A417" s="25">
        <v>45761</v>
      </c>
      <c r="B417" s="3" t="s">
        <v>12</v>
      </c>
      <c r="C417" s="3" t="s">
        <v>422</v>
      </c>
      <c r="D417" s="3">
        <v>96</v>
      </c>
      <c r="E417" s="3">
        <v>67</v>
      </c>
      <c r="F417" s="3">
        <v>29</v>
      </c>
      <c r="G417" s="3" t="str">
        <f t="shared" si="12"/>
        <v>2025-04</v>
      </c>
      <c r="H417" s="26">
        <f t="shared" si="13"/>
        <v>0.69791666666666663</v>
      </c>
    </row>
    <row r="418" spans="1:8" ht="17.399999999999999">
      <c r="A418" s="25">
        <v>45762</v>
      </c>
      <c r="B418" s="3" t="s">
        <v>6</v>
      </c>
      <c r="C418" s="3" t="s">
        <v>423</v>
      </c>
      <c r="D418" s="3">
        <v>38</v>
      </c>
      <c r="E418" s="3">
        <v>28</v>
      </c>
      <c r="F418" s="3">
        <v>10</v>
      </c>
      <c r="G418" s="3" t="str">
        <f t="shared" si="12"/>
        <v>2025-04</v>
      </c>
      <c r="H418" s="26">
        <f t="shared" si="13"/>
        <v>0.73684210526315785</v>
      </c>
    </row>
    <row r="419" spans="1:8" ht="17.399999999999999">
      <c r="A419" s="25">
        <v>45762</v>
      </c>
      <c r="B419" s="3" t="s">
        <v>8</v>
      </c>
      <c r="C419" s="3" t="s">
        <v>424</v>
      </c>
      <c r="D419" s="3">
        <v>52</v>
      </c>
      <c r="E419" s="3">
        <v>41</v>
      </c>
      <c r="F419" s="3">
        <v>11</v>
      </c>
      <c r="G419" s="3" t="str">
        <f t="shared" si="12"/>
        <v>2025-04</v>
      </c>
      <c r="H419" s="26">
        <f t="shared" si="13"/>
        <v>0.78846153846153844</v>
      </c>
    </row>
    <row r="420" spans="1:8" ht="17.399999999999999">
      <c r="A420" s="25">
        <v>45762</v>
      </c>
      <c r="B420" s="3" t="s">
        <v>10</v>
      </c>
      <c r="C420" s="3" t="s">
        <v>425</v>
      </c>
      <c r="D420" s="3">
        <v>23</v>
      </c>
      <c r="E420" s="3">
        <v>18</v>
      </c>
      <c r="F420" s="3">
        <v>5</v>
      </c>
      <c r="G420" s="3" t="str">
        <f t="shared" si="12"/>
        <v>2025-04</v>
      </c>
      <c r="H420" s="26">
        <f t="shared" si="13"/>
        <v>0.78260869565217395</v>
      </c>
    </row>
    <row r="421" spans="1:8" ht="17.399999999999999">
      <c r="A421" s="25">
        <v>45762</v>
      </c>
      <c r="B421" s="3" t="s">
        <v>12</v>
      </c>
      <c r="C421" s="3" t="s">
        <v>426</v>
      </c>
      <c r="D421" s="3">
        <v>65</v>
      </c>
      <c r="E421" s="3">
        <v>52</v>
      </c>
      <c r="F421" s="3">
        <v>13</v>
      </c>
      <c r="G421" s="3" t="str">
        <f t="shared" si="12"/>
        <v>2025-04</v>
      </c>
      <c r="H421" s="26">
        <f t="shared" si="13"/>
        <v>0.8</v>
      </c>
    </row>
    <row r="422" spans="1:8" ht="17.399999999999999">
      <c r="A422" s="25">
        <v>45763</v>
      </c>
      <c r="B422" s="3" t="s">
        <v>6</v>
      </c>
      <c r="C422" s="3" t="s">
        <v>427</v>
      </c>
      <c r="D422" s="3">
        <v>22</v>
      </c>
      <c r="E422" s="3">
        <v>17</v>
      </c>
      <c r="F422" s="3">
        <v>5</v>
      </c>
      <c r="G422" s="3" t="str">
        <f t="shared" si="12"/>
        <v>2025-04</v>
      </c>
      <c r="H422" s="26">
        <f t="shared" si="13"/>
        <v>0.77272727272727271</v>
      </c>
    </row>
    <row r="423" spans="1:8" ht="17.399999999999999">
      <c r="A423" s="25">
        <v>45763</v>
      </c>
      <c r="B423" s="3" t="s">
        <v>8</v>
      </c>
      <c r="C423" s="3" t="s">
        <v>428</v>
      </c>
      <c r="D423" s="3">
        <v>26</v>
      </c>
      <c r="E423" s="3">
        <v>20</v>
      </c>
      <c r="F423" s="3">
        <v>6</v>
      </c>
      <c r="G423" s="3" t="str">
        <f t="shared" si="12"/>
        <v>2025-04</v>
      </c>
      <c r="H423" s="26">
        <f t="shared" si="13"/>
        <v>0.76923076923076927</v>
      </c>
    </row>
    <row r="424" spans="1:8" ht="17.399999999999999">
      <c r="A424" s="25">
        <v>45763</v>
      </c>
      <c r="B424" s="3" t="s">
        <v>10</v>
      </c>
      <c r="C424" s="3" t="s">
        <v>429</v>
      </c>
      <c r="D424" s="3">
        <v>87</v>
      </c>
      <c r="E424" s="3">
        <v>63</v>
      </c>
      <c r="F424" s="3">
        <v>24</v>
      </c>
      <c r="G424" s="3" t="str">
        <f t="shared" si="12"/>
        <v>2025-04</v>
      </c>
      <c r="H424" s="26">
        <f t="shared" si="13"/>
        <v>0.72413793103448276</v>
      </c>
    </row>
    <row r="425" spans="1:8" ht="17.399999999999999">
      <c r="A425" s="25">
        <v>45763</v>
      </c>
      <c r="B425" s="3" t="s">
        <v>12</v>
      </c>
      <c r="C425" s="3" t="s">
        <v>430</v>
      </c>
      <c r="D425" s="3">
        <v>80</v>
      </c>
      <c r="E425" s="3">
        <v>70</v>
      </c>
      <c r="F425" s="3">
        <v>10</v>
      </c>
      <c r="G425" s="3" t="str">
        <f t="shared" si="12"/>
        <v>2025-04</v>
      </c>
      <c r="H425" s="26">
        <f t="shared" si="13"/>
        <v>0.875</v>
      </c>
    </row>
    <row r="426" spans="1:8" ht="17.399999999999999">
      <c r="A426" s="25">
        <v>45764</v>
      </c>
      <c r="B426" s="3" t="s">
        <v>6</v>
      </c>
      <c r="C426" s="3" t="s">
        <v>431</v>
      </c>
      <c r="D426" s="3">
        <v>85</v>
      </c>
      <c r="E426" s="3">
        <v>77</v>
      </c>
      <c r="F426" s="3">
        <v>8</v>
      </c>
      <c r="G426" s="3" t="str">
        <f t="shared" si="12"/>
        <v>2025-04</v>
      </c>
      <c r="H426" s="26">
        <f t="shared" si="13"/>
        <v>0.90588235294117647</v>
      </c>
    </row>
    <row r="427" spans="1:8" ht="17.399999999999999">
      <c r="A427" s="25">
        <v>45764</v>
      </c>
      <c r="B427" s="3" t="s">
        <v>8</v>
      </c>
      <c r="C427" s="3" t="s">
        <v>432</v>
      </c>
      <c r="D427" s="3">
        <v>77</v>
      </c>
      <c r="E427" s="3">
        <v>69</v>
      </c>
      <c r="F427" s="3">
        <v>8</v>
      </c>
      <c r="G427" s="3" t="str">
        <f t="shared" si="12"/>
        <v>2025-04</v>
      </c>
      <c r="H427" s="26">
        <f t="shared" si="13"/>
        <v>0.89610389610389607</v>
      </c>
    </row>
    <row r="428" spans="1:8" ht="17.399999999999999">
      <c r="A428" s="25">
        <v>45764</v>
      </c>
      <c r="B428" s="3" t="s">
        <v>10</v>
      </c>
      <c r="C428" s="3" t="s">
        <v>433</v>
      </c>
      <c r="D428" s="3">
        <v>98</v>
      </c>
      <c r="E428" s="3">
        <v>69</v>
      </c>
      <c r="F428" s="3">
        <v>29</v>
      </c>
      <c r="G428" s="3" t="str">
        <f t="shared" si="12"/>
        <v>2025-04</v>
      </c>
      <c r="H428" s="26">
        <f t="shared" si="13"/>
        <v>0.70408163265306123</v>
      </c>
    </row>
    <row r="429" spans="1:8" ht="17.399999999999999">
      <c r="A429" s="25">
        <v>45764</v>
      </c>
      <c r="B429" s="3" t="s">
        <v>12</v>
      </c>
      <c r="C429" s="3" t="s">
        <v>434</v>
      </c>
      <c r="D429" s="3">
        <v>58</v>
      </c>
      <c r="E429" s="3">
        <v>54</v>
      </c>
      <c r="F429" s="3">
        <v>4</v>
      </c>
      <c r="G429" s="3" t="str">
        <f t="shared" si="12"/>
        <v>2025-04</v>
      </c>
      <c r="H429" s="26">
        <f t="shared" si="13"/>
        <v>0.93103448275862066</v>
      </c>
    </row>
    <row r="430" spans="1:8" ht="17.399999999999999">
      <c r="A430" s="25">
        <v>45765</v>
      </c>
      <c r="B430" s="3" t="s">
        <v>6</v>
      </c>
      <c r="C430" s="3" t="s">
        <v>435</v>
      </c>
      <c r="D430" s="3">
        <v>27</v>
      </c>
      <c r="E430" s="3">
        <v>25</v>
      </c>
      <c r="F430" s="3">
        <v>2</v>
      </c>
      <c r="G430" s="3" t="str">
        <f t="shared" si="12"/>
        <v>2025-04</v>
      </c>
      <c r="H430" s="26">
        <f t="shared" si="13"/>
        <v>0.92592592592592593</v>
      </c>
    </row>
    <row r="431" spans="1:8" ht="17.399999999999999">
      <c r="A431" s="25">
        <v>45765</v>
      </c>
      <c r="B431" s="3" t="s">
        <v>8</v>
      </c>
      <c r="C431" s="3" t="s">
        <v>436</v>
      </c>
      <c r="D431" s="3">
        <v>74</v>
      </c>
      <c r="E431" s="3">
        <v>72</v>
      </c>
      <c r="F431" s="3">
        <v>2</v>
      </c>
      <c r="G431" s="3" t="str">
        <f t="shared" si="12"/>
        <v>2025-04</v>
      </c>
      <c r="H431" s="26">
        <f t="shared" si="13"/>
        <v>0.97297297297297303</v>
      </c>
    </row>
    <row r="432" spans="1:8" ht="17.399999999999999">
      <c r="A432" s="25">
        <v>45765</v>
      </c>
      <c r="B432" s="3" t="s">
        <v>10</v>
      </c>
      <c r="C432" s="3" t="s">
        <v>437</v>
      </c>
      <c r="D432" s="3">
        <v>82</v>
      </c>
      <c r="E432" s="3">
        <v>79</v>
      </c>
      <c r="F432" s="3">
        <v>3</v>
      </c>
      <c r="G432" s="3" t="str">
        <f t="shared" si="12"/>
        <v>2025-04</v>
      </c>
      <c r="H432" s="26">
        <f t="shared" si="13"/>
        <v>0.96341463414634143</v>
      </c>
    </row>
    <row r="433" spans="1:8" ht="17.399999999999999">
      <c r="A433" s="25">
        <v>45765</v>
      </c>
      <c r="B433" s="3" t="s">
        <v>12</v>
      </c>
      <c r="C433" s="3" t="s">
        <v>438</v>
      </c>
      <c r="D433" s="3">
        <v>29</v>
      </c>
      <c r="E433" s="3">
        <v>21</v>
      </c>
      <c r="F433" s="3">
        <v>8</v>
      </c>
      <c r="G433" s="3" t="str">
        <f t="shared" si="12"/>
        <v>2025-04</v>
      </c>
      <c r="H433" s="26">
        <f t="shared" si="13"/>
        <v>0.72413793103448276</v>
      </c>
    </row>
    <row r="434" spans="1:8" ht="17.399999999999999">
      <c r="A434" s="25">
        <v>45766</v>
      </c>
      <c r="B434" s="3" t="s">
        <v>6</v>
      </c>
      <c r="C434" s="3" t="s">
        <v>439</v>
      </c>
      <c r="D434" s="3">
        <v>97</v>
      </c>
      <c r="E434" s="3">
        <v>71</v>
      </c>
      <c r="F434" s="3">
        <v>26</v>
      </c>
      <c r="G434" s="3" t="str">
        <f t="shared" si="12"/>
        <v>2025-04</v>
      </c>
      <c r="H434" s="26">
        <f t="shared" si="13"/>
        <v>0.73195876288659789</v>
      </c>
    </row>
    <row r="435" spans="1:8" ht="17.399999999999999">
      <c r="A435" s="25">
        <v>45766</v>
      </c>
      <c r="B435" s="3" t="s">
        <v>8</v>
      </c>
      <c r="C435" s="3" t="s">
        <v>440</v>
      </c>
      <c r="D435" s="3">
        <v>36</v>
      </c>
      <c r="E435" s="3">
        <v>29</v>
      </c>
      <c r="F435" s="3">
        <v>7</v>
      </c>
      <c r="G435" s="3" t="str">
        <f t="shared" si="12"/>
        <v>2025-04</v>
      </c>
      <c r="H435" s="26">
        <f t="shared" si="13"/>
        <v>0.80555555555555558</v>
      </c>
    </row>
    <row r="436" spans="1:8" ht="17.399999999999999">
      <c r="A436" s="25">
        <v>45766</v>
      </c>
      <c r="B436" s="3" t="s">
        <v>10</v>
      </c>
      <c r="C436" s="3" t="s">
        <v>441</v>
      </c>
      <c r="D436" s="3">
        <v>61</v>
      </c>
      <c r="E436" s="3">
        <v>54</v>
      </c>
      <c r="F436" s="3">
        <v>7</v>
      </c>
      <c r="G436" s="3" t="str">
        <f t="shared" si="12"/>
        <v>2025-04</v>
      </c>
      <c r="H436" s="26">
        <f t="shared" si="13"/>
        <v>0.88524590163934425</v>
      </c>
    </row>
    <row r="437" spans="1:8" ht="17.399999999999999">
      <c r="A437" s="25">
        <v>45766</v>
      </c>
      <c r="B437" s="3" t="s">
        <v>12</v>
      </c>
      <c r="C437" s="3" t="s">
        <v>442</v>
      </c>
      <c r="D437" s="3">
        <v>57</v>
      </c>
      <c r="E437" s="3">
        <v>53</v>
      </c>
      <c r="F437" s="3">
        <v>4</v>
      </c>
      <c r="G437" s="3" t="str">
        <f t="shared" si="12"/>
        <v>2025-04</v>
      </c>
      <c r="H437" s="26">
        <f t="shared" si="13"/>
        <v>0.92982456140350878</v>
      </c>
    </row>
    <row r="438" spans="1:8" ht="17.399999999999999">
      <c r="A438" s="25">
        <v>45767</v>
      </c>
      <c r="B438" s="3" t="s">
        <v>6</v>
      </c>
      <c r="C438" s="3" t="s">
        <v>443</v>
      </c>
      <c r="D438" s="3">
        <v>97</v>
      </c>
      <c r="E438" s="3">
        <v>80</v>
      </c>
      <c r="F438" s="3">
        <v>17</v>
      </c>
      <c r="G438" s="3" t="str">
        <f t="shared" si="12"/>
        <v>2025-04</v>
      </c>
      <c r="H438" s="26">
        <f t="shared" si="13"/>
        <v>0.82474226804123707</v>
      </c>
    </row>
    <row r="439" spans="1:8" ht="17.399999999999999">
      <c r="A439" s="25">
        <v>45767</v>
      </c>
      <c r="B439" s="3" t="s">
        <v>8</v>
      </c>
      <c r="C439" s="3" t="s">
        <v>444</v>
      </c>
      <c r="D439" s="3">
        <v>34</v>
      </c>
      <c r="E439" s="3">
        <v>33</v>
      </c>
      <c r="F439" s="3">
        <v>1</v>
      </c>
      <c r="G439" s="3" t="str">
        <f t="shared" si="12"/>
        <v>2025-04</v>
      </c>
      <c r="H439" s="26">
        <f t="shared" si="13"/>
        <v>0.97058823529411764</v>
      </c>
    </row>
    <row r="440" spans="1:8" ht="17.399999999999999">
      <c r="A440" s="25">
        <v>45767</v>
      </c>
      <c r="B440" s="3" t="s">
        <v>10</v>
      </c>
      <c r="C440" s="3" t="s">
        <v>445</v>
      </c>
      <c r="D440" s="3">
        <v>75</v>
      </c>
      <c r="E440" s="3">
        <v>66</v>
      </c>
      <c r="F440" s="3">
        <v>9</v>
      </c>
      <c r="G440" s="3" t="str">
        <f t="shared" si="12"/>
        <v>2025-04</v>
      </c>
      <c r="H440" s="26">
        <f t="shared" si="13"/>
        <v>0.88</v>
      </c>
    </row>
    <row r="441" spans="1:8" ht="17.399999999999999">
      <c r="A441" s="25">
        <v>45767</v>
      </c>
      <c r="B441" s="3" t="s">
        <v>12</v>
      </c>
      <c r="C441" s="3" t="s">
        <v>446</v>
      </c>
      <c r="D441" s="3">
        <v>72</v>
      </c>
      <c r="E441" s="3">
        <v>60</v>
      </c>
      <c r="F441" s="3">
        <v>12</v>
      </c>
      <c r="G441" s="3" t="str">
        <f t="shared" si="12"/>
        <v>2025-04</v>
      </c>
      <c r="H441" s="26">
        <f t="shared" si="13"/>
        <v>0.83333333333333337</v>
      </c>
    </row>
    <row r="442" spans="1:8" ht="17.399999999999999">
      <c r="A442" s="25">
        <v>45768</v>
      </c>
      <c r="B442" s="3" t="s">
        <v>6</v>
      </c>
      <c r="C442" s="3" t="s">
        <v>447</v>
      </c>
      <c r="D442" s="3">
        <v>71</v>
      </c>
      <c r="E442" s="3">
        <v>62</v>
      </c>
      <c r="F442" s="3">
        <v>9</v>
      </c>
      <c r="G442" s="3" t="str">
        <f t="shared" si="12"/>
        <v>2025-04</v>
      </c>
      <c r="H442" s="26">
        <f t="shared" si="13"/>
        <v>0.87323943661971826</v>
      </c>
    </row>
    <row r="443" spans="1:8" ht="17.399999999999999">
      <c r="A443" s="25">
        <v>45768</v>
      </c>
      <c r="B443" s="3" t="s">
        <v>8</v>
      </c>
      <c r="C443" s="3" t="s">
        <v>448</v>
      </c>
      <c r="D443" s="3">
        <v>60</v>
      </c>
      <c r="E443" s="3">
        <v>55</v>
      </c>
      <c r="F443" s="3">
        <v>5</v>
      </c>
      <c r="G443" s="3" t="str">
        <f t="shared" si="12"/>
        <v>2025-04</v>
      </c>
      <c r="H443" s="26">
        <f t="shared" si="13"/>
        <v>0.91666666666666663</v>
      </c>
    </row>
    <row r="444" spans="1:8" ht="17.399999999999999">
      <c r="A444" s="25">
        <v>45768</v>
      </c>
      <c r="B444" s="3" t="s">
        <v>10</v>
      </c>
      <c r="C444" s="3" t="s">
        <v>449</v>
      </c>
      <c r="D444" s="3">
        <v>52</v>
      </c>
      <c r="E444" s="3">
        <v>47</v>
      </c>
      <c r="F444" s="3">
        <v>5</v>
      </c>
      <c r="G444" s="3" t="str">
        <f t="shared" si="12"/>
        <v>2025-04</v>
      </c>
      <c r="H444" s="26">
        <f t="shared" si="13"/>
        <v>0.90384615384615385</v>
      </c>
    </row>
    <row r="445" spans="1:8" ht="17.399999999999999">
      <c r="A445" s="25">
        <v>45768</v>
      </c>
      <c r="B445" s="3" t="s">
        <v>12</v>
      </c>
      <c r="C445" s="3" t="s">
        <v>450</v>
      </c>
      <c r="D445" s="3">
        <v>80</v>
      </c>
      <c r="E445" s="3">
        <v>58</v>
      </c>
      <c r="F445" s="3">
        <v>22</v>
      </c>
      <c r="G445" s="3" t="str">
        <f t="shared" si="12"/>
        <v>2025-04</v>
      </c>
      <c r="H445" s="26">
        <f t="shared" si="13"/>
        <v>0.72499999999999998</v>
      </c>
    </row>
    <row r="446" spans="1:8" ht="17.399999999999999">
      <c r="A446" s="25">
        <v>45769</v>
      </c>
      <c r="B446" s="3" t="s">
        <v>6</v>
      </c>
      <c r="C446" s="3" t="s">
        <v>451</v>
      </c>
      <c r="D446" s="3">
        <v>30</v>
      </c>
      <c r="E446" s="3">
        <v>22</v>
      </c>
      <c r="F446" s="3">
        <v>8</v>
      </c>
      <c r="G446" s="3" t="str">
        <f t="shared" si="12"/>
        <v>2025-04</v>
      </c>
      <c r="H446" s="26">
        <f t="shared" si="13"/>
        <v>0.73333333333333328</v>
      </c>
    </row>
    <row r="447" spans="1:8" ht="17.399999999999999">
      <c r="A447" s="25">
        <v>45769</v>
      </c>
      <c r="B447" s="3" t="s">
        <v>8</v>
      </c>
      <c r="C447" s="3" t="s">
        <v>452</v>
      </c>
      <c r="D447" s="3">
        <v>32</v>
      </c>
      <c r="E447" s="3">
        <v>27</v>
      </c>
      <c r="F447" s="3">
        <v>5</v>
      </c>
      <c r="G447" s="3" t="str">
        <f t="shared" si="12"/>
        <v>2025-04</v>
      </c>
      <c r="H447" s="26">
        <f t="shared" si="13"/>
        <v>0.84375</v>
      </c>
    </row>
    <row r="448" spans="1:8" ht="17.399999999999999">
      <c r="A448" s="25">
        <v>45769</v>
      </c>
      <c r="B448" s="3" t="s">
        <v>10</v>
      </c>
      <c r="C448" s="3" t="s">
        <v>453</v>
      </c>
      <c r="D448" s="3">
        <v>91</v>
      </c>
      <c r="E448" s="3">
        <v>64</v>
      </c>
      <c r="F448" s="3">
        <v>27</v>
      </c>
      <c r="G448" s="3" t="str">
        <f t="shared" si="12"/>
        <v>2025-04</v>
      </c>
      <c r="H448" s="26">
        <f t="shared" si="13"/>
        <v>0.70329670329670335</v>
      </c>
    </row>
    <row r="449" spans="1:8" ht="17.399999999999999">
      <c r="A449" s="25">
        <v>45769</v>
      </c>
      <c r="B449" s="3" t="s">
        <v>12</v>
      </c>
      <c r="C449" s="3" t="s">
        <v>454</v>
      </c>
      <c r="D449" s="3">
        <v>35</v>
      </c>
      <c r="E449" s="3">
        <v>30</v>
      </c>
      <c r="F449" s="3">
        <v>5</v>
      </c>
      <c r="G449" s="3" t="str">
        <f t="shared" si="12"/>
        <v>2025-04</v>
      </c>
      <c r="H449" s="26">
        <f t="shared" si="13"/>
        <v>0.8571428571428571</v>
      </c>
    </row>
    <row r="450" spans="1:8" ht="17.399999999999999">
      <c r="A450" s="25">
        <v>45770</v>
      </c>
      <c r="B450" s="3" t="s">
        <v>6</v>
      </c>
      <c r="C450" s="3" t="s">
        <v>455</v>
      </c>
      <c r="D450" s="3">
        <v>74</v>
      </c>
      <c r="E450" s="3">
        <v>74</v>
      </c>
      <c r="F450" s="3">
        <v>0</v>
      </c>
      <c r="G450" s="3" t="str">
        <f t="shared" si="12"/>
        <v>2025-04</v>
      </c>
      <c r="H450" s="26">
        <f t="shared" si="13"/>
        <v>1</v>
      </c>
    </row>
    <row r="451" spans="1:8" ht="17.399999999999999">
      <c r="A451" s="25">
        <v>45770</v>
      </c>
      <c r="B451" s="3" t="s">
        <v>8</v>
      </c>
      <c r="C451" s="3" t="s">
        <v>456</v>
      </c>
      <c r="D451" s="3">
        <v>56</v>
      </c>
      <c r="E451" s="3">
        <v>48</v>
      </c>
      <c r="F451" s="3">
        <v>8</v>
      </c>
      <c r="G451" s="3" t="str">
        <f t="shared" ref="G451:G514" si="14">TEXT(A451,"yyyy-mm")</f>
        <v>2025-04</v>
      </c>
      <c r="H451" s="26">
        <f t="shared" ref="H451:H514" si="15">E451/D451</f>
        <v>0.8571428571428571</v>
      </c>
    </row>
    <row r="452" spans="1:8" ht="17.399999999999999">
      <c r="A452" s="25">
        <v>45770</v>
      </c>
      <c r="B452" s="3" t="s">
        <v>10</v>
      </c>
      <c r="C452" s="3" t="s">
        <v>457</v>
      </c>
      <c r="D452" s="3">
        <v>33</v>
      </c>
      <c r="E452" s="3">
        <v>32</v>
      </c>
      <c r="F452" s="3">
        <v>1</v>
      </c>
      <c r="G452" s="3" t="str">
        <f t="shared" si="14"/>
        <v>2025-04</v>
      </c>
      <c r="H452" s="26">
        <f t="shared" si="15"/>
        <v>0.96969696969696972</v>
      </c>
    </row>
    <row r="453" spans="1:8" ht="17.399999999999999">
      <c r="A453" s="25">
        <v>45770</v>
      </c>
      <c r="B453" s="3" t="s">
        <v>12</v>
      </c>
      <c r="C453" s="3" t="s">
        <v>458</v>
      </c>
      <c r="D453" s="3">
        <v>47</v>
      </c>
      <c r="E453" s="3">
        <v>36</v>
      </c>
      <c r="F453" s="3">
        <v>11</v>
      </c>
      <c r="G453" s="3" t="str">
        <f t="shared" si="14"/>
        <v>2025-04</v>
      </c>
      <c r="H453" s="26">
        <f t="shared" si="15"/>
        <v>0.76595744680851063</v>
      </c>
    </row>
    <row r="454" spans="1:8" ht="17.399999999999999">
      <c r="A454" s="25">
        <v>45771</v>
      </c>
      <c r="B454" s="3" t="s">
        <v>6</v>
      </c>
      <c r="C454" s="3" t="s">
        <v>459</v>
      </c>
      <c r="D454" s="3">
        <v>48</v>
      </c>
      <c r="E454" s="3">
        <v>36</v>
      </c>
      <c r="F454" s="3">
        <v>12</v>
      </c>
      <c r="G454" s="3" t="str">
        <f t="shared" si="14"/>
        <v>2025-04</v>
      </c>
      <c r="H454" s="26">
        <f t="shared" si="15"/>
        <v>0.75</v>
      </c>
    </row>
    <row r="455" spans="1:8" ht="17.399999999999999">
      <c r="A455" s="25">
        <v>45771</v>
      </c>
      <c r="B455" s="3" t="s">
        <v>8</v>
      </c>
      <c r="C455" s="3" t="s">
        <v>460</v>
      </c>
      <c r="D455" s="3">
        <v>91</v>
      </c>
      <c r="E455" s="3">
        <v>74</v>
      </c>
      <c r="F455" s="3">
        <v>17</v>
      </c>
      <c r="G455" s="3" t="str">
        <f t="shared" si="14"/>
        <v>2025-04</v>
      </c>
      <c r="H455" s="26">
        <f t="shared" si="15"/>
        <v>0.81318681318681318</v>
      </c>
    </row>
    <row r="456" spans="1:8" ht="17.399999999999999">
      <c r="A456" s="25">
        <v>45771</v>
      </c>
      <c r="B456" s="3" t="s">
        <v>10</v>
      </c>
      <c r="C456" s="3" t="s">
        <v>461</v>
      </c>
      <c r="D456" s="3">
        <v>55</v>
      </c>
      <c r="E456" s="3">
        <v>45</v>
      </c>
      <c r="F456" s="3">
        <v>10</v>
      </c>
      <c r="G456" s="3" t="str">
        <f t="shared" si="14"/>
        <v>2025-04</v>
      </c>
      <c r="H456" s="26">
        <f t="shared" si="15"/>
        <v>0.81818181818181823</v>
      </c>
    </row>
    <row r="457" spans="1:8" ht="17.399999999999999">
      <c r="A457" s="25">
        <v>45771</v>
      </c>
      <c r="B457" s="3" t="s">
        <v>12</v>
      </c>
      <c r="C457" s="3" t="s">
        <v>462</v>
      </c>
      <c r="D457" s="3">
        <v>91</v>
      </c>
      <c r="E457" s="3">
        <v>87</v>
      </c>
      <c r="F457" s="3">
        <v>4</v>
      </c>
      <c r="G457" s="3" t="str">
        <f t="shared" si="14"/>
        <v>2025-04</v>
      </c>
      <c r="H457" s="26">
        <f t="shared" si="15"/>
        <v>0.95604395604395609</v>
      </c>
    </row>
    <row r="458" spans="1:8" ht="17.399999999999999">
      <c r="A458" s="25">
        <v>45772</v>
      </c>
      <c r="B458" s="3" t="s">
        <v>6</v>
      </c>
      <c r="C458" s="3" t="s">
        <v>463</v>
      </c>
      <c r="D458" s="3">
        <v>97</v>
      </c>
      <c r="E458" s="3">
        <v>96</v>
      </c>
      <c r="F458" s="3">
        <v>1</v>
      </c>
      <c r="G458" s="3" t="str">
        <f t="shared" si="14"/>
        <v>2025-04</v>
      </c>
      <c r="H458" s="26">
        <f t="shared" si="15"/>
        <v>0.98969072164948457</v>
      </c>
    </row>
    <row r="459" spans="1:8" ht="17.399999999999999">
      <c r="A459" s="25">
        <v>45772</v>
      </c>
      <c r="B459" s="3" t="s">
        <v>8</v>
      </c>
      <c r="C459" s="3" t="s">
        <v>464</v>
      </c>
      <c r="D459" s="3">
        <v>23</v>
      </c>
      <c r="E459" s="3">
        <v>18</v>
      </c>
      <c r="F459" s="3">
        <v>5</v>
      </c>
      <c r="G459" s="3" t="str">
        <f t="shared" si="14"/>
        <v>2025-04</v>
      </c>
      <c r="H459" s="26">
        <f t="shared" si="15"/>
        <v>0.78260869565217395</v>
      </c>
    </row>
    <row r="460" spans="1:8" ht="17.399999999999999">
      <c r="A460" s="25">
        <v>45772</v>
      </c>
      <c r="B460" s="3" t="s">
        <v>10</v>
      </c>
      <c r="C460" s="3" t="s">
        <v>465</v>
      </c>
      <c r="D460" s="3">
        <v>59</v>
      </c>
      <c r="E460" s="3">
        <v>51</v>
      </c>
      <c r="F460" s="3">
        <v>8</v>
      </c>
      <c r="G460" s="3" t="str">
        <f t="shared" si="14"/>
        <v>2025-04</v>
      </c>
      <c r="H460" s="26">
        <f t="shared" si="15"/>
        <v>0.86440677966101698</v>
      </c>
    </row>
    <row r="461" spans="1:8" ht="17.399999999999999">
      <c r="A461" s="25">
        <v>45772</v>
      </c>
      <c r="B461" s="3" t="s">
        <v>12</v>
      </c>
      <c r="C461" s="3" t="s">
        <v>466</v>
      </c>
      <c r="D461" s="3">
        <v>20</v>
      </c>
      <c r="E461" s="3">
        <v>15</v>
      </c>
      <c r="F461" s="3">
        <v>5</v>
      </c>
      <c r="G461" s="3" t="str">
        <f t="shared" si="14"/>
        <v>2025-04</v>
      </c>
      <c r="H461" s="26">
        <f t="shared" si="15"/>
        <v>0.75</v>
      </c>
    </row>
    <row r="462" spans="1:8" ht="17.399999999999999">
      <c r="A462" s="25">
        <v>45773</v>
      </c>
      <c r="B462" s="3" t="s">
        <v>6</v>
      </c>
      <c r="C462" s="3" t="s">
        <v>467</v>
      </c>
      <c r="D462" s="3">
        <v>92</v>
      </c>
      <c r="E462" s="3">
        <v>85</v>
      </c>
      <c r="F462" s="3">
        <v>7</v>
      </c>
      <c r="G462" s="3" t="str">
        <f t="shared" si="14"/>
        <v>2025-04</v>
      </c>
      <c r="H462" s="26">
        <f t="shared" si="15"/>
        <v>0.92391304347826086</v>
      </c>
    </row>
    <row r="463" spans="1:8" ht="17.399999999999999">
      <c r="A463" s="25">
        <v>45773</v>
      </c>
      <c r="B463" s="3" t="s">
        <v>8</v>
      </c>
      <c r="C463" s="3" t="s">
        <v>468</v>
      </c>
      <c r="D463" s="3">
        <v>28</v>
      </c>
      <c r="E463" s="3">
        <v>21</v>
      </c>
      <c r="F463" s="3">
        <v>7</v>
      </c>
      <c r="G463" s="3" t="str">
        <f t="shared" si="14"/>
        <v>2025-04</v>
      </c>
      <c r="H463" s="26">
        <f t="shared" si="15"/>
        <v>0.75</v>
      </c>
    </row>
    <row r="464" spans="1:8" ht="17.399999999999999">
      <c r="A464" s="25">
        <v>45773</v>
      </c>
      <c r="B464" s="3" t="s">
        <v>10</v>
      </c>
      <c r="C464" s="3" t="s">
        <v>469</v>
      </c>
      <c r="D464" s="3">
        <v>31</v>
      </c>
      <c r="E464" s="3">
        <v>29</v>
      </c>
      <c r="F464" s="3">
        <v>2</v>
      </c>
      <c r="G464" s="3" t="str">
        <f t="shared" si="14"/>
        <v>2025-04</v>
      </c>
      <c r="H464" s="26">
        <f t="shared" si="15"/>
        <v>0.93548387096774188</v>
      </c>
    </row>
    <row r="465" spans="1:8" ht="17.399999999999999">
      <c r="A465" s="25">
        <v>45773</v>
      </c>
      <c r="B465" s="3" t="s">
        <v>12</v>
      </c>
      <c r="C465" s="3" t="s">
        <v>470</v>
      </c>
      <c r="D465" s="3">
        <v>68</v>
      </c>
      <c r="E465" s="3">
        <v>60</v>
      </c>
      <c r="F465" s="3">
        <v>8</v>
      </c>
      <c r="G465" s="3" t="str">
        <f t="shared" si="14"/>
        <v>2025-04</v>
      </c>
      <c r="H465" s="26">
        <f t="shared" si="15"/>
        <v>0.88235294117647056</v>
      </c>
    </row>
    <row r="466" spans="1:8" ht="17.399999999999999">
      <c r="A466" s="25">
        <v>45774</v>
      </c>
      <c r="B466" s="3" t="s">
        <v>6</v>
      </c>
      <c r="C466" s="3" t="s">
        <v>471</v>
      </c>
      <c r="D466" s="3">
        <v>63</v>
      </c>
      <c r="E466" s="3">
        <v>49</v>
      </c>
      <c r="F466" s="3">
        <v>14</v>
      </c>
      <c r="G466" s="3" t="str">
        <f t="shared" si="14"/>
        <v>2025-04</v>
      </c>
      <c r="H466" s="26">
        <f t="shared" si="15"/>
        <v>0.77777777777777779</v>
      </c>
    </row>
    <row r="467" spans="1:8" ht="17.399999999999999">
      <c r="A467" s="25">
        <v>45774</v>
      </c>
      <c r="B467" s="3" t="s">
        <v>8</v>
      </c>
      <c r="C467" s="3" t="s">
        <v>472</v>
      </c>
      <c r="D467" s="3">
        <v>59</v>
      </c>
      <c r="E467" s="3">
        <v>51</v>
      </c>
      <c r="F467" s="3">
        <v>8</v>
      </c>
      <c r="G467" s="3" t="str">
        <f t="shared" si="14"/>
        <v>2025-04</v>
      </c>
      <c r="H467" s="26">
        <f t="shared" si="15"/>
        <v>0.86440677966101698</v>
      </c>
    </row>
    <row r="468" spans="1:8" ht="17.399999999999999">
      <c r="A468" s="25">
        <v>45774</v>
      </c>
      <c r="B468" s="3" t="s">
        <v>10</v>
      </c>
      <c r="C468" s="3" t="s">
        <v>473</v>
      </c>
      <c r="D468" s="3">
        <v>26</v>
      </c>
      <c r="E468" s="3">
        <v>20</v>
      </c>
      <c r="F468" s="3">
        <v>6</v>
      </c>
      <c r="G468" s="3" t="str">
        <f t="shared" si="14"/>
        <v>2025-04</v>
      </c>
      <c r="H468" s="26">
        <f t="shared" si="15"/>
        <v>0.76923076923076927</v>
      </c>
    </row>
    <row r="469" spans="1:8" ht="17.399999999999999">
      <c r="A469" s="25">
        <v>45774</v>
      </c>
      <c r="B469" s="3" t="s">
        <v>12</v>
      </c>
      <c r="C469" s="3" t="s">
        <v>474</v>
      </c>
      <c r="D469" s="3">
        <v>99</v>
      </c>
      <c r="E469" s="3">
        <v>70</v>
      </c>
      <c r="F469" s="3">
        <v>29</v>
      </c>
      <c r="G469" s="3" t="str">
        <f t="shared" si="14"/>
        <v>2025-04</v>
      </c>
      <c r="H469" s="26">
        <f t="shared" si="15"/>
        <v>0.70707070707070707</v>
      </c>
    </row>
    <row r="470" spans="1:8" ht="17.399999999999999">
      <c r="A470" s="25">
        <v>45775</v>
      </c>
      <c r="B470" s="3" t="s">
        <v>6</v>
      </c>
      <c r="C470" s="3" t="s">
        <v>475</v>
      </c>
      <c r="D470" s="3">
        <v>54</v>
      </c>
      <c r="E470" s="3">
        <v>51</v>
      </c>
      <c r="F470" s="3">
        <v>3</v>
      </c>
      <c r="G470" s="3" t="str">
        <f t="shared" si="14"/>
        <v>2025-04</v>
      </c>
      <c r="H470" s="26">
        <f t="shared" si="15"/>
        <v>0.94444444444444442</v>
      </c>
    </row>
    <row r="471" spans="1:8" ht="17.399999999999999">
      <c r="A471" s="25">
        <v>45775</v>
      </c>
      <c r="B471" s="3" t="s">
        <v>8</v>
      </c>
      <c r="C471" s="3" t="s">
        <v>476</v>
      </c>
      <c r="D471" s="3">
        <v>82</v>
      </c>
      <c r="E471" s="3">
        <v>76</v>
      </c>
      <c r="F471" s="3">
        <v>6</v>
      </c>
      <c r="G471" s="3" t="str">
        <f t="shared" si="14"/>
        <v>2025-04</v>
      </c>
      <c r="H471" s="26">
        <f t="shared" si="15"/>
        <v>0.92682926829268297</v>
      </c>
    </row>
    <row r="472" spans="1:8" ht="17.399999999999999">
      <c r="A472" s="25">
        <v>45775</v>
      </c>
      <c r="B472" s="3" t="s">
        <v>10</v>
      </c>
      <c r="C472" s="3" t="s">
        <v>477</v>
      </c>
      <c r="D472" s="3">
        <v>73</v>
      </c>
      <c r="E472" s="3">
        <v>59</v>
      </c>
      <c r="F472" s="3">
        <v>14</v>
      </c>
      <c r="G472" s="3" t="str">
        <f t="shared" si="14"/>
        <v>2025-04</v>
      </c>
      <c r="H472" s="26">
        <f t="shared" si="15"/>
        <v>0.80821917808219179</v>
      </c>
    </row>
    <row r="473" spans="1:8" ht="17.399999999999999">
      <c r="A473" s="25">
        <v>45775</v>
      </c>
      <c r="B473" s="3" t="s">
        <v>12</v>
      </c>
      <c r="C473" s="3" t="s">
        <v>478</v>
      </c>
      <c r="D473" s="3">
        <v>85</v>
      </c>
      <c r="E473" s="3">
        <v>62</v>
      </c>
      <c r="F473" s="3">
        <v>23</v>
      </c>
      <c r="G473" s="3" t="str">
        <f t="shared" si="14"/>
        <v>2025-04</v>
      </c>
      <c r="H473" s="26">
        <f t="shared" si="15"/>
        <v>0.72941176470588232</v>
      </c>
    </row>
    <row r="474" spans="1:8" ht="17.399999999999999">
      <c r="A474" s="25">
        <v>45776</v>
      </c>
      <c r="B474" s="3" t="s">
        <v>6</v>
      </c>
      <c r="C474" s="3" t="s">
        <v>479</v>
      </c>
      <c r="D474" s="3">
        <v>75</v>
      </c>
      <c r="E474" s="3">
        <v>55</v>
      </c>
      <c r="F474" s="3">
        <v>20</v>
      </c>
      <c r="G474" s="3" t="str">
        <f t="shared" si="14"/>
        <v>2025-04</v>
      </c>
      <c r="H474" s="26">
        <f t="shared" si="15"/>
        <v>0.73333333333333328</v>
      </c>
    </row>
    <row r="475" spans="1:8" ht="17.399999999999999">
      <c r="A475" s="25">
        <v>45776</v>
      </c>
      <c r="B475" s="3" t="s">
        <v>8</v>
      </c>
      <c r="C475" s="3" t="s">
        <v>480</v>
      </c>
      <c r="D475" s="3">
        <v>95</v>
      </c>
      <c r="E475" s="3">
        <v>81</v>
      </c>
      <c r="F475" s="3">
        <v>14</v>
      </c>
      <c r="G475" s="3" t="str">
        <f t="shared" si="14"/>
        <v>2025-04</v>
      </c>
      <c r="H475" s="26">
        <f t="shared" si="15"/>
        <v>0.85263157894736841</v>
      </c>
    </row>
    <row r="476" spans="1:8" ht="17.399999999999999">
      <c r="A476" s="25">
        <v>45776</v>
      </c>
      <c r="B476" s="3" t="s">
        <v>10</v>
      </c>
      <c r="C476" s="3" t="s">
        <v>481</v>
      </c>
      <c r="D476" s="3">
        <v>59</v>
      </c>
      <c r="E476" s="3">
        <v>42</v>
      </c>
      <c r="F476" s="3">
        <v>17</v>
      </c>
      <c r="G476" s="3" t="str">
        <f t="shared" si="14"/>
        <v>2025-04</v>
      </c>
      <c r="H476" s="26">
        <f t="shared" si="15"/>
        <v>0.71186440677966101</v>
      </c>
    </row>
    <row r="477" spans="1:8" ht="17.399999999999999">
      <c r="A477" s="25">
        <v>45776</v>
      </c>
      <c r="B477" s="3" t="s">
        <v>12</v>
      </c>
      <c r="C477" s="3" t="s">
        <v>482</v>
      </c>
      <c r="D477" s="3">
        <v>70</v>
      </c>
      <c r="E477" s="3">
        <v>68</v>
      </c>
      <c r="F477" s="3">
        <v>2</v>
      </c>
      <c r="G477" s="3" t="str">
        <f t="shared" si="14"/>
        <v>2025-04</v>
      </c>
      <c r="H477" s="26">
        <f t="shared" si="15"/>
        <v>0.97142857142857142</v>
      </c>
    </row>
    <row r="478" spans="1:8" ht="17.399999999999999">
      <c r="A478" s="25">
        <v>45777</v>
      </c>
      <c r="B478" s="3" t="s">
        <v>6</v>
      </c>
      <c r="C478" s="3" t="s">
        <v>483</v>
      </c>
      <c r="D478" s="3">
        <v>20</v>
      </c>
      <c r="E478" s="3">
        <v>15</v>
      </c>
      <c r="F478" s="3">
        <v>5</v>
      </c>
      <c r="G478" s="3" t="str">
        <f t="shared" si="14"/>
        <v>2025-04</v>
      </c>
      <c r="H478" s="26">
        <f t="shared" si="15"/>
        <v>0.75</v>
      </c>
    </row>
    <row r="479" spans="1:8" ht="17.399999999999999">
      <c r="A479" s="25">
        <v>45777</v>
      </c>
      <c r="B479" s="3" t="s">
        <v>8</v>
      </c>
      <c r="C479" s="3" t="s">
        <v>484</v>
      </c>
      <c r="D479" s="3">
        <v>47</v>
      </c>
      <c r="E479" s="3">
        <v>36</v>
      </c>
      <c r="F479" s="3">
        <v>11</v>
      </c>
      <c r="G479" s="3" t="str">
        <f t="shared" si="14"/>
        <v>2025-04</v>
      </c>
      <c r="H479" s="26">
        <f t="shared" si="15"/>
        <v>0.76595744680851063</v>
      </c>
    </row>
    <row r="480" spans="1:8" ht="17.399999999999999">
      <c r="A480" s="25">
        <v>45777</v>
      </c>
      <c r="B480" s="3" t="s">
        <v>10</v>
      </c>
      <c r="C480" s="3" t="s">
        <v>485</v>
      </c>
      <c r="D480" s="3">
        <v>57</v>
      </c>
      <c r="E480" s="3">
        <v>49</v>
      </c>
      <c r="F480" s="3">
        <v>8</v>
      </c>
      <c r="G480" s="3" t="str">
        <f t="shared" si="14"/>
        <v>2025-04</v>
      </c>
      <c r="H480" s="26">
        <f t="shared" si="15"/>
        <v>0.85964912280701755</v>
      </c>
    </row>
    <row r="481" spans="1:8" ht="17.399999999999999">
      <c r="A481" s="25">
        <v>45777</v>
      </c>
      <c r="B481" s="3" t="s">
        <v>12</v>
      </c>
      <c r="C481" s="3" t="s">
        <v>486</v>
      </c>
      <c r="D481" s="3">
        <v>20</v>
      </c>
      <c r="E481" s="3">
        <v>17</v>
      </c>
      <c r="F481" s="3">
        <v>3</v>
      </c>
      <c r="G481" s="3" t="str">
        <f t="shared" si="14"/>
        <v>2025-04</v>
      </c>
      <c r="H481" s="26">
        <f t="shared" si="15"/>
        <v>0.85</v>
      </c>
    </row>
    <row r="482" spans="1:8" ht="17.399999999999999">
      <c r="A482" s="25">
        <v>45778</v>
      </c>
      <c r="B482" s="3" t="s">
        <v>6</v>
      </c>
      <c r="C482" s="3" t="s">
        <v>487</v>
      </c>
      <c r="D482" s="3">
        <v>42</v>
      </c>
      <c r="E482" s="3">
        <v>31</v>
      </c>
      <c r="F482" s="3">
        <v>11</v>
      </c>
      <c r="G482" s="3" t="str">
        <f t="shared" si="14"/>
        <v>2025-05</v>
      </c>
      <c r="H482" s="26">
        <f t="shared" si="15"/>
        <v>0.73809523809523814</v>
      </c>
    </row>
    <row r="483" spans="1:8" ht="17.399999999999999">
      <c r="A483" s="25">
        <v>45778</v>
      </c>
      <c r="B483" s="3" t="s">
        <v>8</v>
      </c>
      <c r="C483" s="3" t="s">
        <v>488</v>
      </c>
      <c r="D483" s="3">
        <v>88</v>
      </c>
      <c r="E483" s="3">
        <v>83</v>
      </c>
      <c r="F483" s="3">
        <v>5</v>
      </c>
      <c r="G483" s="3" t="str">
        <f t="shared" si="14"/>
        <v>2025-05</v>
      </c>
      <c r="H483" s="26">
        <f t="shared" si="15"/>
        <v>0.94318181818181823</v>
      </c>
    </row>
    <row r="484" spans="1:8" ht="17.399999999999999">
      <c r="A484" s="25">
        <v>45778</v>
      </c>
      <c r="B484" s="3" t="s">
        <v>10</v>
      </c>
      <c r="C484" s="3" t="s">
        <v>76</v>
      </c>
      <c r="D484" s="3">
        <v>84</v>
      </c>
      <c r="E484" s="3">
        <v>75</v>
      </c>
      <c r="F484" s="3">
        <v>9</v>
      </c>
      <c r="G484" s="3" t="str">
        <f t="shared" si="14"/>
        <v>2025-05</v>
      </c>
      <c r="H484" s="26">
        <f t="shared" si="15"/>
        <v>0.8928571428571429</v>
      </c>
    </row>
    <row r="485" spans="1:8" ht="17.399999999999999">
      <c r="A485" s="25">
        <v>45778</v>
      </c>
      <c r="B485" s="3" t="s">
        <v>12</v>
      </c>
      <c r="C485" s="3" t="s">
        <v>489</v>
      </c>
      <c r="D485" s="3">
        <v>29</v>
      </c>
      <c r="E485" s="3">
        <v>26</v>
      </c>
      <c r="F485" s="3">
        <v>3</v>
      </c>
      <c r="G485" s="3" t="str">
        <f t="shared" si="14"/>
        <v>2025-05</v>
      </c>
      <c r="H485" s="26">
        <f t="shared" si="15"/>
        <v>0.89655172413793105</v>
      </c>
    </row>
    <row r="486" spans="1:8" ht="17.399999999999999">
      <c r="A486" s="25">
        <v>45779</v>
      </c>
      <c r="B486" s="3" t="s">
        <v>6</v>
      </c>
      <c r="C486" s="3" t="s">
        <v>490</v>
      </c>
      <c r="D486" s="3">
        <v>75</v>
      </c>
      <c r="E486" s="3">
        <v>52</v>
      </c>
      <c r="F486" s="3">
        <v>23</v>
      </c>
      <c r="G486" s="3" t="str">
        <f t="shared" si="14"/>
        <v>2025-05</v>
      </c>
      <c r="H486" s="26">
        <f t="shared" si="15"/>
        <v>0.69333333333333336</v>
      </c>
    </row>
    <row r="487" spans="1:8" ht="17.399999999999999">
      <c r="A487" s="25">
        <v>45779</v>
      </c>
      <c r="B487" s="3" t="s">
        <v>8</v>
      </c>
      <c r="C487" s="3" t="s">
        <v>491</v>
      </c>
      <c r="D487" s="3">
        <v>29</v>
      </c>
      <c r="E487" s="3">
        <v>25</v>
      </c>
      <c r="F487" s="3">
        <v>4</v>
      </c>
      <c r="G487" s="3" t="str">
        <f t="shared" si="14"/>
        <v>2025-05</v>
      </c>
      <c r="H487" s="26">
        <f t="shared" si="15"/>
        <v>0.86206896551724133</v>
      </c>
    </row>
    <row r="488" spans="1:8" ht="17.399999999999999">
      <c r="A488" s="25">
        <v>45779</v>
      </c>
      <c r="B488" s="3" t="s">
        <v>10</v>
      </c>
      <c r="C488" s="3" t="s">
        <v>492</v>
      </c>
      <c r="D488" s="3">
        <v>93</v>
      </c>
      <c r="E488" s="3">
        <v>77</v>
      </c>
      <c r="F488" s="3">
        <v>16</v>
      </c>
      <c r="G488" s="3" t="str">
        <f t="shared" si="14"/>
        <v>2025-05</v>
      </c>
      <c r="H488" s="26">
        <f t="shared" si="15"/>
        <v>0.82795698924731187</v>
      </c>
    </row>
    <row r="489" spans="1:8" ht="17.399999999999999">
      <c r="A489" s="25">
        <v>45779</v>
      </c>
      <c r="B489" s="3" t="s">
        <v>12</v>
      </c>
      <c r="C489" s="3" t="s">
        <v>493</v>
      </c>
      <c r="D489" s="3">
        <v>57</v>
      </c>
      <c r="E489" s="3">
        <v>42</v>
      </c>
      <c r="F489" s="3">
        <v>15</v>
      </c>
      <c r="G489" s="3" t="str">
        <f t="shared" si="14"/>
        <v>2025-05</v>
      </c>
      <c r="H489" s="26">
        <f t="shared" si="15"/>
        <v>0.73684210526315785</v>
      </c>
    </row>
    <row r="490" spans="1:8" ht="17.399999999999999">
      <c r="A490" s="25">
        <v>45780</v>
      </c>
      <c r="B490" s="3" t="s">
        <v>6</v>
      </c>
      <c r="C490" s="3" t="s">
        <v>494</v>
      </c>
      <c r="D490" s="3">
        <v>22</v>
      </c>
      <c r="E490" s="3">
        <v>20</v>
      </c>
      <c r="F490" s="3">
        <v>2</v>
      </c>
      <c r="G490" s="3" t="str">
        <f t="shared" si="14"/>
        <v>2025-05</v>
      </c>
      <c r="H490" s="26">
        <f t="shared" si="15"/>
        <v>0.90909090909090906</v>
      </c>
    </row>
    <row r="491" spans="1:8" ht="17.399999999999999">
      <c r="A491" s="25">
        <v>45780</v>
      </c>
      <c r="B491" s="3" t="s">
        <v>8</v>
      </c>
      <c r="C491" s="3" t="s">
        <v>495</v>
      </c>
      <c r="D491" s="3">
        <v>99</v>
      </c>
      <c r="E491" s="3">
        <v>83</v>
      </c>
      <c r="F491" s="3">
        <v>16</v>
      </c>
      <c r="G491" s="3" t="str">
        <f t="shared" si="14"/>
        <v>2025-05</v>
      </c>
      <c r="H491" s="26">
        <f t="shared" si="15"/>
        <v>0.83838383838383834</v>
      </c>
    </row>
    <row r="492" spans="1:8" ht="17.399999999999999">
      <c r="A492" s="25">
        <v>45780</v>
      </c>
      <c r="B492" s="3" t="s">
        <v>10</v>
      </c>
      <c r="C492" s="3" t="s">
        <v>496</v>
      </c>
      <c r="D492" s="3">
        <v>31</v>
      </c>
      <c r="E492" s="3">
        <v>27</v>
      </c>
      <c r="F492" s="3">
        <v>4</v>
      </c>
      <c r="G492" s="3" t="str">
        <f t="shared" si="14"/>
        <v>2025-05</v>
      </c>
      <c r="H492" s="26">
        <f t="shared" si="15"/>
        <v>0.87096774193548387</v>
      </c>
    </row>
    <row r="493" spans="1:8" ht="17.399999999999999">
      <c r="A493" s="25">
        <v>45780</v>
      </c>
      <c r="B493" s="3" t="s">
        <v>12</v>
      </c>
      <c r="C493" s="3" t="s">
        <v>497</v>
      </c>
      <c r="D493" s="3">
        <v>51</v>
      </c>
      <c r="E493" s="3">
        <v>48</v>
      </c>
      <c r="F493" s="3">
        <v>3</v>
      </c>
      <c r="G493" s="3" t="str">
        <f t="shared" si="14"/>
        <v>2025-05</v>
      </c>
      <c r="H493" s="26">
        <f t="shared" si="15"/>
        <v>0.94117647058823528</v>
      </c>
    </row>
    <row r="494" spans="1:8" ht="17.399999999999999">
      <c r="A494" s="25">
        <v>45781</v>
      </c>
      <c r="B494" s="3" t="s">
        <v>6</v>
      </c>
      <c r="C494" s="3" t="s">
        <v>498</v>
      </c>
      <c r="D494" s="3">
        <v>87</v>
      </c>
      <c r="E494" s="3">
        <v>62</v>
      </c>
      <c r="F494" s="3">
        <v>25</v>
      </c>
      <c r="G494" s="3" t="str">
        <f t="shared" si="14"/>
        <v>2025-05</v>
      </c>
      <c r="H494" s="26">
        <f t="shared" si="15"/>
        <v>0.71264367816091956</v>
      </c>
    </row>
    <row r="495" spans="1:8" ht="17.399999999999999">
      <c r="A495" s="25">
        <v>45781</v>
      </c>
      <c r="B495" s="3" t="s">
        <v>8</v>
      </c>
      <c r="C495" s="3" t="s">
        <v>499</v>
      </c>
      <c r="D495" s="3">
        <v>59</v>
      </c>
      <c r="E495" s="3">
        <v>51</v>
      </c>
      <c r="F495" s="3">
        <v>8</v>
      </c>
      <c r="G495" s="3" t="str">
        <f t="shared" si="14"/>
        <v>2025-05</v>
      </c>
      <c r="H495" s="26">
        <f t="shared" si="15"/>
        <v>0.86440677966101698</v>
      </c>
    </row>
    <row r="496" spans="1:8" ht="17.399999999999999">
      <c r="A496" s="25">
        <v>45781</v>
      </c>
      <c r="B496" s="3" t="s">
        <v>10</v>
      </c>
      <c r="C496" s="3" t="s">
        <v>500</v>
      </c>
      <c r="D496" s="3">
        <v>62</v>
      </c>
      <c r="E496" s="3">
        <v>48</v>
      </c>
      <c r="F496" s="3">
        <v>14</v>
      </c>
      <c r="G496" s="3" t="str">
        <f t="shared" si="14"/>
        <v>2025-05</v>
      </c>
      <c r="H496" s="26">
        <f t="shared" si="15"/>
        <v>0.77419354838709675</v>
      </c>
    </row>
    <row r="497" spans="1:8" ht="17.399999999999999">
      <c r="A497" s="25">
        <v>45781</v>
      </c>
      <c r="B497" s="3" t="s">
        <v>12</v>
      </c>
      <c r="C497" s="3" t="s">
        <v>501</v>
      </c>
      <c r="D497" s="3">
        <v>85</v>
      </c>
      <c r="E497" s="3">
        <v>79</v>
      </c>
      <c r="F497" s="3">
        <v>6</v>
      </c>
      <c r="G497" s="3" t="str">
        <f t="shared" si="14"/>
        <v>2025-05</v>
      </c>
      <c r="H497" s="26">
        <f t="shared" si="15"/>
        <v>0.92941176470588238</v>
      </c>
    </row>
    <row r="498" spans="1:8" ht="17.399999999999999">
      <c r="A498" s="25">
        <v>45782</v>
      </c>
      <c r="B498" s="3" t="s">
        <v>6</v>
      </c>
      <c r="C498" s="3" t="s">
        <v>502</v>
      </c>
      <c r="D498" s="3">
        <v>87</v>
      </c>
      <c r="E498" s="3">
        <v>76</v>
      </c>
      <c r="F498" s="3">
        <v>11</v>
      </c>
      <c r="G498" s="3" t="str">
        <f t="shared" si="14"/>
        <v>2025-05</v>
      </c>
      <c r="H498" s="26">
        <f t="shared" si="15"/>
        <v>0.87356321839080464</v>
      </c>
    </row>
    <row r="499" spans="1:8" ht="17.399999999999999">
      <c r="A499" s="25">
        <v>45782</v>
      </c>
      <c r="B499" s="3" t="s">
        <v>8</v>
      </c>
      <c r="C499" s="3" t="s">
        <v>503</v>
      </c>
      <c r="D499" s="3">
        <v>64</v>
      </c>
      <c r="E499" s="3">
        <v>55</v>
      </c>
      <c r="F499" s="3">
        <v>9</v>
      </c>
      <c r="G499" s="3" t="str">
        <f t="shared" si="14"/>
        <v>2025-05</v>
      </c>
      <c r="H499" s="26">
        <f t="shared" si="15"/>
        <v>0.859375</v>
      </c>
    </row>
    <row r="500" spans="1:8" ht="17.399999999999999">
      <c r="A500" s="25">
        <v>45782</v>
      </c>
      <c r="B500" s="3" t="s">
        <v>10</v>
      </c>
      <c r="C500" s="3" t="s">
        <v>504</v>
      </c>
      <c r="D500" s="3">
        <v>50</v>
      </c>
      <c r="E500" s="3">
        <v>38</v>
      </c>
      <c r="F500" s="3">
        <v>12</v>
      </c>
      <c r="G500" s="3" t="str">
        <f t="shared" si="14"/>
        <v>2025-05</v>
      </c>
      <c r="H500" s="26">
        <f t="shared" si="15"/>
        <v>0.76</v>
      </c>
    </row>
    <row r="501" spans="1:8" ht="17.399999999999999">
      <c r="A501" s="25">
        <v>45782</v>
      </c>
      <c r="B501" s="3" t="s">
        <v>12</v>
      </c>
      <c r="C501" s="3" t="s">
        <v>505</v>
      </c>
      <c r="D501" s="3">
        <v>52</v>
      </c>
      <c r="E501" s="3">
        <v>42</v>
      </c>
      <c r="F501" s="3">
        <v>10</v>
      </c>
      <c r="G501" s="3" t="str">
        <f t="shared" si="14"/>
        <v>2025-05</v>
      </c>
      <c r="H501" s="26">
        <f t="shared" si="15"/>
        <v>0.80769230769230771</v>
      </c>
    </row>
    <row r="502" spans="1:8" ht="17.399999999999999">
      <c r="A502" s="25">
        <v>45783</v>
      </c>
      <c r="B502" s="3" t="s">
        <v>6</v>
      </c>
      <c r="C502" s="3" t="s">
        <v>506</v>
      </c>
      <c r="D502" s="3">
        <v>97</v>
      </c>
      <c r="E502" s="3">
        <v>71</v>
      </c>
      <c r="F502" s="3">
        <v>26</v>
      </c>
      <c r="G502" s="3" t="str">
        <f t="shared" si="14"/>
        <v>2025-05</v>
      </c>
      <c r="H502" s="26">
        <f t="shared" si="15"/>
        <v>0.73195876288659789</v>
      </c>
    </row>
    <row r="503" spans="1:8" ht="17.399999999999999">
      <c r="A503" s="25">
        <v>45783</v>
      </c>
      <c r="B503" s="3" t="s">
        <v>8</v>
      </c>
      <c r="C503" s="3" t="s">
        <v>507</v>
      </c>
      <c r="D503" s="3">
        <v>42</v>
      </c>
      <c r="E503" s="3">
        <v>41</v>
      </c>
      <c r="F503" s="3">
        <v>1</v>
      </c>
      <c r="G503" s="3" t="str">
        <f t="shared" si="14"/>
        <v>2025-05</v>
      </c>
      <c r="H503" s="26">
        <f t="shared" si="15"/>
        <v>0.97619047619047616</v>
      </c>
    </row>
    <row r="504" spans="1:8" ht="17.399999999999999">
      <c r="A504" s="25">
        <v>45783</v>
      </c>
      <c r="B504" s="3" t="s">
        <v>10</v>
      </c>
      <c r="C504" s="3" t="s">
        <v>508</v>
      </c>
      <c r="D504" s="3">
        <v>79</v>
      </c>
      <c r="E504" s="3">
        <v>79</v>
      </c>
      <c r="F504" s="3">
        <v>0</v>
      </c>
      <c r="G504" s="3" t="str">
        <f t="shared" si="14"/>
        <v>2025-05</v>
      </c>
      <c r="H504" s="26">
        <f t="shared" si="15"/>
        <v>1</v>
      </c>
    </row>
    <row r="505" spans="1:8" ht="17.399999999999999">
      <c r="A505" s="25">
        <v>45783</v>
      </c>
      <c r="B505" s="3" t="s">
        <v>12</v>
      </c>
      <c r="C505" s="3" t="s">
        <v>509</v>
      </c>
      <c r="D505" s="3">
        <v>92</v>
      </c>
      <c r="E505" s="3">
        <v>84</v>
      </c>
      <c r="F505" s="3">
        <v>8</v>
      </c>
      <c r="G505" s="3" t="str">
        <f t="shared" si="14"/>
        <v>2025-05</v>
      </c>
      <c r="H505" s="26">
        <f t="shared" si="15"/>
        <v>0.91304347826086951</v>
      </c>
    </row>
    <row r="506" spans="1:8" ht="17.399999999999999">
      <c r="A506" s="25">
        <v>45784</v>
      </c>
      <c r="B506" s="3" t="s">
        <v>6</v>
      </c>
      <c r="C506" s="3" t="s">
        <v>510</v>
      </c>
      <c r="D506" s="3">
        <v>100</v>
      </c>
      <c r="E506" s="3">
        <v>80</v>
      </c>
      <c r="F506" s="3">
        <v>20</v>
      </c>
      <c r="G506" s="3" t="str">
        <f t="shared" si="14"/>
        <v>2025-05</v>
      </c>
      <c r="H506" s="26">
        <f t="shared" si="15"/>
        <v>0.8</v>
      </c>
    </row>
    <row r="507" spans="1:8" ht="17.399999999999999">
      <c r="A507" s="25">
        <v>45784</v>
      </c>
      <c r="B507" s="3" t="s">
        <v>8</v>
      </c>
      <c r="C507" s="3" t="s">
        <v>511</v>
      </c>
      <c r="D507" s="3">
        <v>76</v>
      </c>
      <c r="E507" s="3">
        <v>55</v>
      </c>
      <c r="F507" s="3">
        <v>21</v>
      </c>
      <c r="G507" s="3" t="str">
        <f t="shared" si="14"/>
        <v>2025-05</v>
      </c>
      <c r="H507" s="26">
        <f t="shared" si="15"/>
        <v>0.72368421052631582</v>
      </c>
    </row>
    <row r="508" spans="1:8" ht="17.399999999999999">
      <c r="A508" s="25">
        <v>45784</v>
      </c>
      <c r="B508" s="3" t="s">
        <v>10</v>
      </c>
      <c r="C508" s="3" t="s">
        <v>512</v>
      </c>
      <c r="D508" s="3">
        <v>76</v>
      </c>
      <c r="E508" s="3">
        <v>73</v>
      </c>
      <c r="F508" s="3">
        <v>3</v>
      </c>
      <c r="G508" s="3" t="str">
        <f t="shared" si="14"/>
        <v>2025-05</v>
      </c>
      <c r="H508" s="26">
        <f t="shared" si="15"/>
        <v>0.96052631578947367</v>
      </c>
    </row>
    <row r="509" spans="1:8" ht="17.399999999999999">
      <c r="A509" s="25">
        <v>45784</v>
      </c>
      <c r="B509" s="3" t="s">
        <v>12</v>
      </c>
      <c r="C509" s="3" t="s">
        <v>513</v>
      </c>
      <c r="D509" s="3">
        <v>55</v>
      </c>
      <c r="E509" s="3">
        <v>39</v>
      </c>
      <c r="F509" s="3">
        <v>16</v>
      </c>
      <c r="G509" s="3" t="str">
        <f t="shared" si="14"/>
        <v>2025-05</v>
      </c>
      <c r="H509" s="26">
        <f t="shared" si="15"/>
        <v>0.70909090909090911</v>
      </c>
    </row>
    <row r="510" spans="1:8" ht="17.399999999999999">
      <c r="A510" s="25">
        <v>45785</v>
      </c>
      <c r="B510" s="3" t="s">
        <v>6</v>
      </c>
      <c r="C510" s="3" t="s">
        <v>514</v>
      </c>
      <c r="D510" s="3">
        <v>84</v>
      </c>
      <c r="E510" s="3">
        <v>60</v>
      </c>
      <c r="F510" s="3">
        <v>24</v>
      </c>
      <c r="G510" s="3" t="str">
        <f t="shared" si="14"/>
        <v>2025-05</v>
      </c>
      <c r="H510" s="26">
        <f t="shared" si="15"/>
        <v>0.7142857142857143</v>
      </c>
    </row>
    <row r="511" spans="1:8" ht="17.399999999999999">
      <c r="A511" s="25">
        <v>45785</v>
      </c>
      <c r="B511" s="3" t="s">
        <v>8</v>
      </c>
      <c r="C511" s="3" t="s">
        <v>515</v>
      </c>
      <c r="D511" s="3">
        <v>79</v>
      </c>
      <c r="E511" s="3">
        <v>69</v>
      </c>
      <c r="F511" s="3">
        <v>10</v>
      </c>
      <c r="G511" s="3" t="str">
        <f t="shared" si="14"/>
        <v>2025-05</v>
      </c>
      <c r="H511" s="26">
        <f t="shared" si="15"/>
        <v>0.87341772151898733</v>
      </c>
    </row>
    <row r="512" spans="1:8" ht="17.399999999999999">
      <c r="A512" s="25">
        <v>45785</v>
      </c>
      <c r="B512" s="3" t="s">
        <v>10</v>
      </c>
      <c r="C512" s="3" t="s">
        <v>516</v>
      </c>
      <c r="D512" s="3">
        <v>27</v>
      </c>
      <c r="E512" s="3">
        <v>23</v>
      </c>
      <c r="F512" s="3">
        <v>4</v>
      </c>
      <c r="G512" s="3" t="str">
        <f t="shared" si="14"/>
        <v>2025-05</v>
      </c>
      <c r="H512" s="26">
        <f t="shared" si="15"/>
        <v>0.85185185185185186</v>
      </c>
    </row>
    <row r="513" spans="1:8" ht="17.399999999999999">
      <c r="A513" s="25">
        <v>45785</v>
      </c>
      <c r="B513" s="3" t="s">
        <v>12</v>
      </c>
      <c r="C513" s="3" t="s">
        <v>517</v>
      </c>
      <c r="D513" s="3">
        <v>29</v>
      </c>
      <c r="E513" s="3">
        <v>21</v>
      </c>
      <c r="F513" s="3">
        <v>8</v>
      </c>
      <c r="G513" s="3" t="str">
        <f t="shared" si="14"/>
        <v>2025-05</v>
      </c>
      <c r="H513" s="26">
        <f t="shared" si="15"/>
        <v>0.72413793103448276</v>
      </c>
    </row>
    <row r="514" spans="1:8" ht="17.399999999999999">
      <c r="A514" s="25">
        <v>45786</v>
      </c>
      <c r="B514" s="3" t="s">
        <v>6</v>
      </c>
      <c r="C514" s="3" t="s">
        <v>518</v>
      </c>
      <c r="D514" s="3">
        <v>69</v>
      </c>
      <c r="E514" s="3">
        <v>62</v>
      </c>
      <c r="F514" s="3">
        <v>7</v>
      </c>
      <c r="G514" s="3" t="str">
        <f t="shared" si="14"/>
        <v>2025-05</v>
      </c>
      <c r="H514" s="26">
        <f t="shared" si="15"/>
        <v>0.89855072463768115</v>
      </c>
    </row>
    <row r="515" spans="1:8" ht="17.399999999999999">
      <c r="A515" s="25">
        <v>45786</v>
      </c>
      <c r="B515" s="3" t="s">
        <v>8</v>
      </c>
      <c r="C515" s="3" t="s">
        <v>233</v>
      </c>
      <c r="D515" s="3">
        <v>77</v>
      </c>
      <c r="E515" s="3">
        <v>71</v>
      </c>
      <c r="F515" s="3">
        <v>6</v>
      </c>
      <c r="G515" s="3" t="str">
        <f t="shared" ref="G515:G578" si="16">TEXT(A515,"yyyy-mm")</f>
        <v>2025-05</v>
      </c>
      <c r="H515" s="26">
        <f t="shared" ref="H515:H578" si="17">E515/D515</f>
        <v>0.92207792207792205</v>
      </c>
    </row>
    <row r="516" spans="1:8" ht="17.399999999999999">
      <c r="A516" s="25">
        <v>45786</v>
      </c>
      <c r="B516" s="3" t="s">
        <v>10</v>
      </c>
      <c r="C516" s="3" t="s">
        <v>519</v>
      </c>
      <c r="D516" s="3">
        <v>61</v>
      </c>
      <c r="E516" s="3">
        <v>61</v>
      </c>
      <c r="F516" s="3">
        <v>0</v>
      </c>
      <c r="G516" s="3" t="str">
        <f t="shared" si="16"/>
        <v>2025-05</v>
      </c>
      <c r="H516" s="26">
        <f t="shared" si="17"/>
        <v>1</v>
      </c>
    </row>
    <row r="517" spans="1:8" ht="17.399999999999999">
      <c r="A517" s="25">
        <v>45786</v>
      </c>
      <c r="B517" s="3" t="s">
        <v>12</v>
      </c>
      <c r="C517" s="3" t="s">
        <v>520</v>
      </c>
      <c r="D517" s="3">
        <v>84</v>
      </c>
      <c r="E517" s="3">
        <v>62</v>
      </c>
      <c r="F517" s="3">
        <v>22</v>
      </c>
      <c r="G517" s="3" t="str">
        <f t="shared" si="16"/>
        <v>2025-05</v>
      </c>
      <c r="H517" s="26">
        <f t="shared" si="17"/>
        <v>0.73809523809523814</v>
      </c>
    </row>
    <row r="518" spans="1:8" ht="17.399999999999999">
      <c r="A518" s="25">
        <v>45787</v>
      </c>
      <c r="B518" s="3" t="s">
        <v>6</v>
      </c>
      <c r="C518" s="3" t="s">
        <v>521</v>
      </c>
      <c r="D518" s="3">
        <v>77</v>
      </c>
      <c r="E518" s="3">
        <v>56</v>
      </c>
      <c r="F518" s="3">
        <v>21</v>
      </c>
      <c r="G518" s="3" t="str">
        <f t="shared" si="16"/>
        <v>2025-05</v>
      </c>
      <c r="H518" s="26">
        <f t="shared" si="17"/>
        <v>0.72727272727272729</v>
      </c>
    </row>
    <row r="519" spans="1:8" ht="17.399999999999999">
      <c r="A519" s="25">
        <v>45787</v>
      </c>
      <c r="B519" s="3" t="s">
        <v>8</v>
      </c>
      <c r="C519" s="3" t="s">
        <v>522</v>
      </c>
      <c r="D519" s="3">
        <v>30</v>
      </c>
      <c r="E519" s="3">
        <v>29</v>
      </c>
      <c r="F519" s="3">
        <v>1</v>
      </c>
      <c r="G519" s="3" t="str">
        <f t="shared" si="16"/>
        <v>2025-05</v>
      </c>
      <c r="H519" s="26">
        <f t="shared" si="17"/>
        <v>0.96666666666666667</v>
      </c>
    </row>
    <row r="520" spans="1:8" ht="17.399999999999999">
      <c r="A520" s="25">
        <v>45787</v>
      </c>
      <c r="B520" s="3" t="s">
        <v>10</v>
      </c>
      <c r="C520" s="3" t="s">
        <v>523</v>
      </c>
      <c r="D520" s="3">
        <v>25</v>
      </c>
      <c r="E520" s="3">
        <v>20</v>
      </c>
      <c r="F520" s="3">
        <v>5</v>
      </c>
      <c r="G520" s="3" t="str">
        <f t="shared" si="16"/>
        <v>2025-05</v>
      </c>
      <c r="H520" s="26">
        <f t="shared" si="17"/>
        <v>0.8</v>
      </c>
    </row>
    <row r="521" spans="1:8" ht="17.399999999999999">
      <c r="A521" s="25">
        <v>45787</v>
      </c>
      <c r="B521" s="3" t="s">
        <v>12</v>
      </c>
      <c r="C521" s="3" t="s">
        <v>524</v>
      </c>
      <c r="D521" s="3">
        <v>76</v>
      </c>
      <c r="E521" s="3">
        <v>69</v>
      </c>
      <c r="F521" s="3">
        <v>7</v>
      </c>
      <c r="G521" s="3" t="str">
        <f t="shared" si="16"/>
        <v>2025-05</v>
      </c>
      <c r="H521" s="26">
        <f t="shared" si="17"/>
        <v>0.90789473684210531</v>
      </c>
    </row>
    <row r="522" spans="1:8" ht="17.399999999999999">
      <c r="A522" s="25">
        <v>45788</v>
      </c>
      <c r="B522" s="3" t="s">
        <v>6</v>
      </c>
      <c r="C522" s="3" t="s">
        <v>525</v>
      </c>
      <c r="D522" s="3">
        <v>98</v>
      </c>
      <c r="E522" s="3">
        <v>73</v>
      </c>
      <c r="F522" s="3">
        <v>25</v>
      </c>
      <c r="G522" s="3" t="str">
        <f t="shared" si="16"/>
        <v>2025-05</v>
      </c>
      <c r="H522" s="26">
        <f t="shared" si="17"/>
        <v>0.74489795918367352</v>
      </c>
    </row>
    <row r="523" spans="1:8" ht="17.399999999999999">
      <c r="A523" s="25">
        <v>45788</v>
      </c>
      <c r="B523" s="3" t="s">
        <v>8</v>
      </c>
      <c r="C523" s="3" t="s">
        <v>526</v>
      </c>
      <c r="D523" s="3">
        <v>67</v>
      </c>
      <c r="E523" s="3">
        <v>55</v>
      </c>
      <c r="F523" s="3">
        <v>12</v>
      </c>
      <c r="G523" s="3" t="str">
        <f t="shared" si="16"/>
        <v>2025-05</v>
      </c>
      <c r="H523" s="26">
        <f t="shared" si="17"/>
        <v>0.82089552238805974</v>
      </c>
    </row>
    <row r="524" spans="1:8" ht="17.399999999999999">
      <c r="A524" s="25">
        <v>45788</v>
      </c>
      <c r="B524" s="3" t="s">
        <v>10</v>
      </c>
      <c r="C524" s="3" t="s">
        <v>527</v>
      </c>
      <c r="D524" s="3">
        <v>72</v>
      </c>
      <c r="E524" s="3">
        <v>60</v>
      </c>
      <c r="F524" s="3">
        <v>12</v>
      </c>
      <c r="G524" s="3" t="str">
        <f t="shared" si="16"/>
        <v>2025-05</v>
      </c>
      <c r="H524" s="26">
        <f t="shared" si="17"/>
        <v>0.83333333333333337</v>
      </c>
    </row>
    <row r="525" spans="1:8" ht="17.399999999999999">
      <c r="A525" s="25">
        <v>45788</v>
      </c>
      <c r="B525" s="3" t="s">
        <v>12</v>
      </c>
      <c r="C525" s="3" t="s">
        <v>528</v>
      </c>
      <c r="D525" s="3">
        <v>100</v>
      </c>
      <c r="E525" s="3">
        <v>90</v>
      </c>
      <c r="F525" s="3">
        <v>10</v>
      </c>
      <c r="G525" s="3" t="str">
        <f t="shared" si="16"/>
        <v>2025-05</v>
      </c>
      <c r="H525" s="26">
        <f t="shared" si="17"/>
        <v>0.9</v>
      </c>
    </row>
    <row r="526" spans="1:8" ht="17.399999999999999">
      <c r="A526" s="25">
        <v>45789</v>
      </c>
      <c r="B526" s="3" t="s">
        <v>6</v>
      </c>
      <c r="C526" s="3" t="s">
        <v>529</v>
      </c>
      <c r="D526" s="3">
        <v>28</v>
      </c>
      <c r="E526" s="3">
        <v>24</v>
      </c>
      <c r="F526" s="3">
        <v>4</v>
      </c>
      <c r="G526" s="3" t="str">
        <f t="shared" si="16"/>
        <v>2025-05</v>
      </c>
      <c r="H526" s="26">
        <f t="shared" si="17"/>
        <v>0.8571428571428571</v>
      </c>
    </row>
    <row r="527" spans="1:8" ht="17.399999999999999">
      <c r="A527" s="25">
        <v>45789</v>
      </c>
      <c r="B527" s="3" t="s">
        <v>8</v>
      </c>
      <c r="C527" s="3" t="s">
        <v>530</v>
      </c>
      <c r="D527" s="3">
        <v>91</v>
      </c>
      <c r="E527" s="3">
        <v>84</v>
      </c>
      <c r="F527" s="3">
        <v>7</v>
      </c>
      <c r="G527" s="3" t="str">
        <f t="shared" si="16"/>
        <v>2025-05</v>
      </c>
      <c r="H527" s="26">
        <f t="shared" si="17"/>
        <v>0.92307692307692313</v>
      </c>
    </row>
    <row r="528" spans="1:8" ht="17.399999999999999">
      <c r="A528" s="25">
        <v>45789</v>
      </c>
      <c r="B528" s="3" t="s">
        <v>10</v>
      </c>
      <c r="C528" s="3" t="s">
        <v>531</v>
      </c>
      <c r="D528" s="3">
        <v>56</v>
      </c>
      <c r="E528" s="3">
        <v>47</v>
      </c>
      <c r="F528" s="3">
        <v>9</v>
      </c>
      <c r="G528" s="3" t="str">
        <f t="shared" si="16"/>
        <v>2025-05</v>
      </c>
      <c r="H528" s="26">
        <f t="shared" si="17"/>
        <v>0.8392857142857143</v>
      </c>
    </row>
    <row r="529" spans="1:8" ht="17.399999999999999">
      <c r="A529" s="25">
        <v>45789</v>
      </c>
      <c r="B529" s="3" t="s">
        <v>12</v>
      </c>
      <c r="C529" s="3" t="s">
        <v>532</v>
      </c>
      <c r="D529" s="3">
        <v>62</v>
      </c>
      <c r="E529" s="3">
        <v>45</v>
      </c>
      <c r="F529" s="3">
        <v>17</v>
      </c>
      <c r="G529" s="3" t="str">
        <f t="shared" si="16"/>
        <v>2025-05</v>
      </c>
      <c r="H529" s="26">
        <f t="shared" si="17"/>
        <v>0.72580645161290325</v>
      </c>
    </row>
    <row r="530" spans="1:8" ht="17.399999999999999">
      <c r="A530" s="25">
        <v>45790</v>
      </c>
      <c r="B530" s="3" t="s">
        <v>6</v>
      </c>
      <c r="C530" s="3" t="s">
        <v>533</v>
      </c>
      <c r="D530" s="3">
        <v>64</v>
      </c>
      <c r="E530" s="3">
        <v>53</v>
      </c>
      <c r="F530" s="3">
        <v>11</v>
      </c>
      <c r="G530" s="3" t="str">
        <f t="shared" si="16"/>
        <v>2025-05</v>
      </c>
      <c r="H530" s="26">
        <f t="shared" si="17"/>
        <v>0.828125</v>
      </c>
    </row>
    <row r="531" spans="1:8" ht="17.399999999999999">
      <c r="A531" s="25">
        <v>45790</v>
      </c>
      <c r="B531" s="3" t="s">
        <v>8</v>
      </c>
      <c r="C531" s="3" t="s">
        <v>534</v>
      </c>
      <c r="D531" s="3">
        <v>36</v>
      </c>
      <c r="E531" s="3">
        <v>34</v>
      </c>
      <c r="F531" s="3">
        <v>2</v>
      </c>
      <c r="G531" s="3" t="str">
        <f t="shared" si="16"/>
        <v>2025-05</v>
      </c>
      <c r="H531" s="26">
        <f t="shared" si="17"/>
        <v>0.94444444444444442</v>
      </c>
    </row>
    <row r="532" spans="1:8" ht="17.399999999999999">
      <c r="A532" s="25">
        <v>45790</v>
      </c>
      <c r="B532" s="3" t="s">
        <v>10</v>
      </c>
      <c r="C532" s="3" t="s">
        <v>535</v>
      </c>
      <c r="D532" s="3">
        <v>59</v>
      </c>
      <c r="E532" s="3">
        <v>58</v>
      </c>
      <c r="F532" s="3">
        <v>1</v>
      </c>
      <c r="G532" s="3" t="str">
        <f t="shared" si="16"/>
        <v>2025-05</v>
      </c>
      <c r="H532" s="26">
        <f t="shared" si="17"/>
        <v>0.98305084745762716</v>
      </c>
    </row>
    <row r="533" spans="1:8" ht="17.399999999999999">
      <c r="A533" s="25">
        <v>45790</v>
      </c>
      <c r="B533" s="3" t="s">
        <v>12</v>
      </c>
      <c r="C533" s="3" t="s">
        <v>536</v>
      </c>
      <c r="D533" s="3">
        <v>62</v>
      </c>
      <c r="E533" s="3">
        <v>47</v>
      </c>
      <c r="F533" s="3">
        <v>15</v>
      </c>
      <c r="G533" s="3" t="str">
        <f t="shared" si="16"/>
        <v>2025-05</v>
      </c>
      <c r="H533" s="26">
        <f t="shared" si="17"/>
        <v>0.75806451612903225</v>
      </c>
    </row>
    <row r="534" spans="1:8" ht="17.399999999999999">
      <c r="A534" s="25">
        <v>45791</v>
      </c>
      <c r="B534" s="3" t="s">
        <v>6</v>
      </c>
      <c r="C534" s="3" t="s">
        <v>537</v>
      </c>
      <c r="D534" s="3">
        <v>31</v>
      </c>
      <c r="E534" s="3">
        <v>31</v>
      </c>
      <c r="F534" s="3">
        <v>0</v>
      </c>
      <c r="G534" s="3" t="str">
        <f t="shared" si="16"/>
        <v>2025-05</v>
      </c>
      <c r="H534" s="26">
        <f t="shared" si="17"/>
        <v>1</v>
      </c>
    </row>
    <row r="535" spans="1:8" ht="17.399999999999999">
      <c r="A535" s="25">
        <v>45791</v>
      </c>
      <c r="B535" s="3" t="s">
        <v>8</v>
      </c>
      <c r="C535" s="3" t="s">
        <v>538</v>
      </c>
      <c r="D535" s="3">
        <v>85</v>
      </c>
      <c r="E535" s="3">
        <v>70</v>
      </c>
      <c r="F535" s="3">
        <v>15</v>
      </c>
      <c r="G535" s="3" t="str">
        <f t="shared" si="16"/>
        <v>2025-05</v>
      </c>
      <c r="H535" s="26">
        <f t="shared" si="17"/>
        <v>0.82352941176470584</v>
      </c>
    </row>
    <row r="536" spans="1:8" ht="17.399999999999999">
      <c r="A536" s="25">
        <v>45791</v>
      </c>
      <c r="B536" s="3" t="s">
        <v>10</v>
      </c>
      <c r="C536" s="3" t="s">
        <v>539</v>
      </c>
      <c r="D536" s="3">
        <v>66</v>
      </c>
      <c r="E536" s="3">
        <v>55</v>
      </c>
      <c r="F536" s="3">
        <v>11</v>
      </c>
      <c r="G536" s="3" t="str">
        <f t="shared" si="16"/>
        <v>2025-05</v>
      </c>
      <c r="H536" s="26">
        <f t="shared" si="17"/>
        <v>0.83333333333333337</v>
      </c>
    </row>
    <row r="537" spans="1:8" ht="17.399999999999999">
      <c r="A537" s="25">
        <v>45791</v>
      </c>
      <c r="B537" s="3" t="s">
        <v>12</v>
      </c>
      <c r="C537" s="3" t="s">
        <v>540</v>
      </c>
      <c r="D537" s="3">
        <v>47</v>
      </c>
      <c r="E537" s="3">
        <v>42</v>
      </c>
      <c r="F537" s="3">
        <v>5</v>
      </c>
      <c r="G537" s="3" t="str">
        <f t="shared" si="16"/>
        <v>2025-05</v>
      </c>
      <c r="H537" s="26">
        <f t="shared" si="17"/>
        <v>0.8936170212765957</v>
      </c>
    </row>
    <row r="538" spans="1:8" ht="17.399999999999999">
      <c r="A538" s="25">
        <v>45792</v>
      </c>
      <c r="B538" s="3" t="s">
        <v>6</v>
      </c>
      <c r="C538" s="3" t="s">
        <v>541</v>
      </c>
      <c r="D538" s="3">
        <v>44</v>
      </c>
      <c r="E538" s="3">
        <v>33</v>
      </c>
      <c r="F538" s="3">
        <v>11</v>
      </c>
      <c r="G538" s="3" t="str">
        <f t="shared" si="16"/>
        <v>2025-05</v>
      </c>
      <c r="H538" s="26">
        <f t="shared" si="17"/>
        <v>0.75</v>
      </c>
    </row>
    <row r="539" spans="1:8" ht="17.399999999999999">
      <c r="A539" s="25">
        <v>45792</v>
      </c>
      <c r="B539" s="3" t="s">
        <v>8</v>
      </c>
      <c r="C539" s="3" t="s">
        <v>542</v>
      </c>
      <c r="D539" s="3">
        <v>39</v>
      </c>
      <c r="E539" s="3">
        <v>28</v>
      </c>
      <c r="F539" s="3">
        <v>11</v>
      </c>
      <c r="G539" s="3" t="str">
        <f t="shared" si="16"/>
        <v>2025-05</v>
      </c>
      <c r="H539" s="26">
        <f t="shared" si="17"/>
        <v>0.71794871794871795</v>
      </c>
    </row>
    <row r="540" spans="1:8" ht="17.399999999999999">
      <c r="A540" s="25">
        <v>45792</v>
      </c>
      <c r="B540" s="3" t="s">
        <v>10</v>
      </c>
      <c r="C540" s="3" t="s">
        <v>543</v>
      </c>
      <c r="D540" s="3">
        <v>32</v>
      </c>
      <c r="E540" s="3">
        <v>30</v>
      </c>
      <c r="F540" s="3">
        <v>2</v>
      </c>
      <c r="G540" s="3" t="str">
        <f t="shared" si="16"/>
        <v>2025-05</v>
      </c>
      <c r="H540" s="26">
        <f t="shared" si="17"/>
        <v>0.9375</v>
      </c>
    </row>
    <row r="541" spans="1:8" ht="17.399999999999999">
      <c r="A541" s="25">
        <v>45792</v>
      </c>
      <c r="B541" s="3" t="s">
        <v>12</v>
      </c>
      <c r="C541" s="3" t="s">
        <v>544</v>
      </c>
      <c r="D541" s="3">
        <v>87</v>
      </c>
      <c r="E541" s="3">
        <v>61</v>
      </c>
      <c r="F541" s="3">
        <v>26</v>
      </c>
      <c r="G541" s="3" t="str">
        <f t="shared" si="16"/>
        <v>2025-05</v>
      </c>
      <c r="H541" s="26">
        <f t="shared" si="17"/>
        <v>0.70114942528735635</v>
      </c>
    </row>
    <row r="542" spans="1:8" ht="17.399999999999999">
      <c r="A542" s="25">
        <v>45793</v>
      </c>
      <c r="B542" s="3" t="s">
        <v>6</v>
      </c>
      <c r="C542" s="3" t="s">
        <v>545</v>
      </c>
      <c r="D542" s="3">
        <v>99</v>
      </c>
      <c r="E542" s="3">
        <v>73</v>
      </c>
      <c r="F542" s="3">
        <v>26</v>
      </c>
      <c r="G542" s="3" t="str">
        <f t="shared" si="16"/>
        <v>2025-05</v>
      </c>
      <c r="H542" s="26">
        <f t="shared" si="17"/>
        <v>0.73737373737373735</v>
      </c>
    </row>
    <row r="543" spans="1:8" ht="17.399999999999999">
      <c r="A543" s="25">
        <v>45793</v>
      </c>
      <c r="B543" s="3" t="s">
        <v>8</v>
      </c>
      <c r="C543" s="3" t="s">
        <v>546</v>
      </c>
      <c r="D543" s="3">
        <v>39</v>
      </c>
      <c r="E543" s="3">
        <v>29</v>
      </c>
      <c r="F543" s="3">
        <v>10</v>
      </c>
      <c r="G543" s="3" t="str">
        <f t="shared" si="16"/>
        <v>2025-05</v>
      </c>
      <c r="H543" s="26">
        <f t="shared" si="17"/>
        <v>0.74358974358974361</v>
      </c>
    </row>
    <row r="544" spans="1:8" ht="17.399999999999999">
      <c r="A544" s="25">
        <v>45793</v>
      </c>
      <c r="B544" s="3" t="s">
        <v>10</v>
      </c>
      <c r="C544" s="3" t="s">
        <v>547</v>
      </c>
      <c r="D544" s="3">
        <v>99</v>
      </c>
      <c r="E544" s="3">
        <v>94</v>
      </c>
      <c r="F544" s="3">
        <v>5</v>
      </c>
      <c r="G544" s="3" t="str">
        <f t="shared" si="16"/>
        <v>2025-05</v>
      </c>
      <c r="H544" s="26">
        <f t="shared" si="17"/>
        <v>0.9494949494949495</v>
      </c>
    </row>
    <row r="545" spans="1:8" ht="17.399999999999999">
      <c r="A545" s="25">
        <v>45793</v>
      </c>
      <c r="B545" s="3" t="s">
        <v>12</v>
      </c>
      <c r="C545" s="3" t="s">
        <v>548</v>
      </c>
      <c r="D545" s="3">
        <v>76</v>
      </c>
      <c r="E545" s="3">
        <v>54</v>
      </c>
      <c r="F545" s="3">
        <v>22</v>
      </c>
      <c r="G545" s="3" t="str">
        <f t="shared" si="16"/>
        <v>2025-05</v>
      </c>
      <c r="H545" s="26">
        <f t="shared" si="17"/>
        <v>0.71052631578947367</v>
      </c>
    </row>
    <row r="546" spans="1:8" ht="17.399999999999999">
      <c r="A546" s="25">
        <v>45794</v>
      </c>
      <c r="B546" s="3" t="s">
        <v>6</v>
      </c>
      <c r="C546" s="3" t="s">
        <v>549</v>
      </c>
      <c r="D546" s="3">
        <v>66</v>
      </c>
      <c r="E546" s="3">
        <v>53</v>
      </c>
      <c r="F546" s="3">
        <v>13</v>
      </c>
      <c r="G546" s="3" t="str">
        <f t="shared" si="16"/>
        <v>2025-05</v>
      </c>
      <c r="H546" s="26">
        <f t="shared" si="17"/>
        <v>0.80303030303030298</v>
      </c>
    </row>
    <row r="547" spans="1:8" ht="17.399999999999999">
      <c r="A547" s="25">
        <v>45794</v>
      </c>
      <c r="B547" s="3" t="s">
        <v>8</v>
      </c>
      <c r="C547" s="3" t="s">
        <v>550</v>
      </c>
      <c r="D547" s="3">
        <v>98</v>
      </c>
      <c r="E547" s="3">
        <v>77</v>
      </c>
      <c r="F547" s="3">
        <v>21</v>
      </c>
      <c r="G547" s="3" t="str">
        <f t="shared" si="16"/>
        <v>2025-05</v>
      </c>
      <c r="H547" s="26">
        <f t="shared" si="17"/>
        <v>0.7857142857142857</v>
      </c>
    </row>
    <row r="548" spans="1:8" ht="17.399999999999999">
      <c r="A548" s="25">
        <v>45794</v>
      </c>
      <c r="B548" s="3" t="s">
        <v>10</v>
      </c>
      <c r="C548" s="3" t="s">
        <v>551</v>
      </c>
      <c r="D548" s="3">
        <v>49</v>
      </c>
      <c r="E548" s="3">
        <v>41</v>
      </c>
      <c r="F548" s="3">
        <v>8</v>
      </c>
      <c r="G548" s="3" t="str">
        <f t="shared" si="16"/>
        <v>2025-05</v>
      </c>
      <c r="H548" s="26">
        <f t="shared" si="17"/>
        <v>0.83673469387755106</v>
      </c>
    </row>
    <row r="549" spans="1:8" ht="17.399999999999999">
      <c r="A549" s="25">
        <v>45794</v>
      </c>
      <c r="B549" s="3" t="s">
        <v>12</v>
      </c>
      <c r="C549" s="3" t="s">
        <v>552</v>
      </c>
      <c r="D549" s="3">
        <v>80</v>
      </c>
      <c r="E549" s="3">
        <v>62</v>
      </c>
      <c r="F549" s="3">
        <v>18</v>
      </c>
      <c r="G549" s="3" t="str">
        <f t="shared" si="16"/>
        <v>2025-05</v>
      </c>
      <c r="H549" s="26">
        <f t="shared" si="17"/>
        <v>0.77500000000000002</v>
      </c>
    </row>
    <row r="550" spans="1:8" ht="17.399999999999999">
      <c r="A550" s="25">
        <v>45795</v>
      </c>
      <c r="B550" s="3" t="s">
        <v>6</v>
      </c>
      <c r="C550" s="3" t="s">
        <v>553</v>
      </c>
      <c r="D550" s="3">
        <v>93</v>
      </c>
      <c r="E550" s="3">
        <v>79</v>
      </c>
      <c r="F550" s="3">
        <v>14</v>
      </c>
      <c r="G550" s="3" t="str">
        <f t="shared" si="16"/>
        <v>2025-05</v>
      </c>
      <c r="H550" s="26">
        <f t="shared" si="17"/>
        <v>0.84946236559139787</v>
      </c>
    </row>
    <row r="551" spans="1:8" ht="17.399999999999999">
      <c r="A551" s="25">
        <v>45795</v>
      </c>
      <c r="B551" s="3" t="s">
        <v>8</v>
      </c>
      <c r="C551" s="3" t="s">
        <v>554</v>
      </c>
      <c r="D551" s="3">
        <v>56</v>
      </c>
      <c r="E551" s="3">
        <v>51</v>
      </c>
      <c r="F551" s="3">
        <v>5</v>
      </c>
      <c r="G551" s="3" t="str">
        <f t="shared" si="16"/>
        <v>2025-05</v>
      </c>
      <c r="H551" s="26">
        <f t="shared" si="17"/>
        <v>0.9107142857142857</v>
      </c>
    </row>
    <row r="552" spans="1:8" ht="17.399999999999999">
      <c r="A552" s="25">
        <v>45795</v>
      </c>
      <c r="B552" s="3" t="s">
        <v>10</v>
      </c>
      <c r="C552" s="3" t="s">
        <v>555</v>
      </c>
      <c r="D552" s="3">
        <v>87</v>
      </c>
      <c r="E552" s="3">
        <v>73</v>
      </c>
      <c r="F552" s="3">
        <v>14</v>
      </c>
      <c r="G552" s="3" t="str">
        <f t="shared" si="16"/>
        <v>2025-05</v>
      </c>
      <c r="H552" s="26">
        <f t="shared" si="17"/>
        <v>0.83908045977011492</v>
      </c>
    </row>
    <row r="553" spans="1:8" ht="17.399999999999999">
      <c r="A553" s="25">
        <v>45795</v>
      </c>
      <c r="B553" s="3" t="s">
        <v>12</v>
      </c>
      <c r="C553" s="3" t="s">
        <v>556</v>
      </c>
      <c r="D553" s="3">
        <v>45</v>
      </c>
      <c r="E553" s="3">
        <v>43</v>
      </c>
      <c r="F553" s="3">
        <v>2</v>
      </c>
      <c r="G553" s="3" t="str">
        <f t="shared" si="16"/>
        <v>2025-05</v>
      </c>
      <c r="H553" s="26">
        <f t="shared" si="17"/>
        <v>0.9555555555555556</v>
      </c>
    </row>
    <row r="554" spans="1:8" ht="17.399999999999999">
      <c r="A554" s="25">
        <v>45796</v>
      </c>
      <c r="B554" s="3" t="s">
        <v>6</v>
      </c>
      <c r="C554" s="3" t="s">
        <v>557</v>
      </c>
      <c r="D554" s="3">
        <v>52</v>
      </c>
      <c r="E554" s="3">
        <v>37</v>
      </c>
      <c r="F554" s="3">
        <v>15</v>
      </c>
      <c r="G554" s="3" t="str">
        <f t="shared" si="16"/>
        <v>2025-05</v>
      </c>
      <c r="H554" s="26">
        <f t="shared" si="17"/>
        <v>0.71153846153846156</v>
      </c>
    </row>
    <row r="555" spans="1:8" ht="17.399999999999999">
      <c r="A555" s="25">
        <v>45796</v>
      </c>
      <c r="B555" s="3" t="s">
        <v>8</v>
      </c>
      <c r="C555" s="3" t="s">
        <v>558</v>
      </c>
      <c r="D555" s="3">
        <v>67</v>
      </c>
      <c r="E555" s="3">
        <v>63</v>
      </c>
      <c r="F555" s="3">
        <v>4</v>
      </c>
      <c r="G555" s="3" t="str">
        <f t="shared" si="16"/>
        <v>2025-05</v>
      </c>
      <c r="H555" s="26">
        <f t="shared" si="17"/>
        <v>0.94029850746268662</v>
      </c>
    </row>
    <row r="556" spans="1:8" ht="17.399999999999999">
      <c r="A556" s="25">
        <v>45796</v>
      </c>
      <c r="B556" s="3" t="s">
        <v>10</v>
      </c>
      <c r="C556" s="3" t="s">
        <v>559</v>
      </c>
      <c r="D556" s="3">
        <v>86</v>
      </c>
      <c r="E556" s="3">
        <v>63</v>
      </c>
      <c r="F556" s="3">
        <v>23</v>
      </c>
      <c r="G556" s="3" t="str">
        <f t="shared" si="16"/>
        <v>2025-05</v>
      </c>
      <c r="H556" s="26">
        <f t="shared" si="17"/>
        <v>0.73255813953488369</v>
      </c>
    </row>
    <row r="557" spans="1:8" ht="17.399999999999999">
      <c r="A557" s="25">
        <v>45796</v>
      </c>
      <c r="B557" s="3" t="s">
        <v>12</v>
      </c>
      <c r="C557" s="3" t="s">
        <v>560</v>
      </c>
      <c r="D557" s="3">
        <v>30</v>
      </c>
      <c r="E557" s="3">
        <v>23</v>
      </c>
      <c r="F557" s="3">
        <v>7</v>
      </c>
      <c r="G557" s="3" t="str">
        <f t="shared" si="16"/>
        <v>2025-05</v>
      </c>
      <c r="H557" s="26">
        <f t="shared" si="17"/>
        <v>0.76666666666666672</v>
      </c>
    </row>
    <row r="558" spans="1:8" ht="17.399999999999999">
      <c r="A558" s="25">
        <v>45797</v>
      </c>
      <c r="B558" s="3" t="s">
        <v>6</v>
      </c>
      <c r="C558" s="3" t="s">
        <v>561</v>
      </c>
      <c r="D558" s="3">
        <v>77</v>
      </c>
      <c r="E558" s="3">
        <v>69</v>
      </c>
      <c r="F558" s="3">
        <v>8</v>
      </c>
      <c r="G558" s="3" t="str">
        <f t="shared" si="16"/>
        <v>2025-05</v>
      </c>
      <c r="H558" s="26">
        <f t="shared" si="17"/>
        <v>0.89610389610389607</v>
      </c>
    </row>
    <row r="559" spans="1:8" ht="17.399999999999999">
      <c r="A559" s="25">
        <v>45797</v>
      </c>
      <c r="B559" s="3" t="s">
        <v>8</v>
      </c>
      <c r="C559" s="3" t="s">
        <v>562</v>
      </c>
      <c r="D559" s="3">
        <v>75</v>
      </c>
      <c r="E559" s="3">
        <v>54</v>
      </c>
      <c r="F559" s="3">
        <v>21</v>
      </c>
      <c r="G559" s="3" t="str">
        <f t="shared" si="16"/>
        <v>2025-05</v>
      </c>
      <c r="H559" s="26">
        <f t="shared" si="17"/>
        <v>0.72</v>
      </c>
    </row>
    <row r="560" spans="1:8" ht="17.399999999999999">
      <c r="A560" s="25">
        <v>45797</v>
      </c>
      <c r="B560" s="3" t="s">
        <v>10</v>
      </c>
      <c r="C560" s="3" t="s">
        <v>563</v>
      </c>
      <c r="D560" s="3">
        <v>77</v>
      </c>
      <c r="E560" s="3">
        <v>64</v>
      </c>
      <c r="F560" s="3">
        <v>13</v>
      </c>
      <c r="G560" s="3" t="str">
        <f t="shared" si="16"/>
        <v>2025-05</v>
      </c>
      <c r="H560" s="26">
        <f t="shared" si="17"/>
        <v>0.83116883116883122</v>
      </c>
    </row>
    <row r="561" spans="1:8" ht="17.399999999999999">
      <c r="A561" s="25">
        <v>45797</v>
      </c>
      <c r="B561" s="3" t="s">
        <v>12</v>
      </c>
      <c r="C561" s="3" t="s">
        <v>564</v>
      </c>
      <c r="D561" s="3">
        <v>73</v>
      </c>
      <c r="E561" s="3">
        <v>52</v>
      </c>
      <c r="F561" s="3">
        <v>21</v>
      </c>
      <c r="G561" s="3" t="str">
        <f t="shared" si="16"/>
        <v>2025-05</v>
      </c>
      <c r="H561" s="26">
        <f t="shared" si="17"/>
        <v>0.71232876712328763</v>
      </c>
    </row>
    <row r="562" spans="1:8" ht="17.399999999999999">
      <c r="A562" s="25">
        <v>45798</v>
      </c>
      <c r="B562" s="3" t="s">
        <v>6</v>
      </c>
      <c r="C562" s="3" t="s">
        <v>565</v>
      </c>
      <c r="D562" s="3">
        <v>84</v>
      </c>
      <c r="E562" s="3">
        <v>69</v>
      </c>
      <c r="F562" s="3">
        <v>15</v>
      </c>
      <c r="G562" s="3" t="str">
        <f t="shared" si="16"/>
        <v>2025-05</v>
      </c>
      <c r="H562" s="26">
        <f t="shared" si="17"/>
        <v>0.8214285714285714</v>
      </c>
    </row>
    <row r="563" spans="1:8" ht="17.399999999999999">
      <c r="A563" s="25">
        <v>45798</v>
      </c>
      <c r="B563" s="3" t="s">
        <v>8</v>
      </c>
      <c r="C563" s="3" t="s">
        <v>566</v>
      </c>
      <c r="D563" s="3">
        <v>69</v>
      </c>
      <c r="E563" s="3">
        <v>50</v>
      </c>
      <c r="F563" s="3">
        <v>19</v>
      </c>
      <c r="G563" s="3" t="str">
        <f t="shared" si="16"/>
        <v>2025-05</v>
      </c>
      <c r="H563" s="26">
        <f t="shared" si="17"/>
        <v>0.72463768115942029</v>
      </c>
    </row>
    <row r="564" spans="1:8" ht="17.399999999999999">
      <c r="A564" s="25">
        <v>45798</v>
      </c>
      <c r="B564" s="3" t="s">
        <v>10</v>
      </c>
      <c r="C564" s="3" t="s">
        <v>567</v>
      </c>
      <c r="D564" s="3">
        <v>48</v>
      </c>
      <c r="E564" s="3">
        <v>33</v>
      </c>
      <c r="F564" s="3">
        <v>15</v>
      </c>
      <c r="G564" s="3" t="str">
        <f t="shared" si="16"/>
        <v>2025-05</v>
      </c>
      <c r="H564" s="26">
        <f t="shared" si="17"/>
        <v>0.6875</v>
      </c>
    </row>
    <row r="565" spans="1:8" ht="17.399999999999999">
      <c r="A565" s="25">
        <v>45798</v>
      </c>
      <c r="B565" s="3" t="s">
        <v>12</v>
      </c>
      <c r="C565" s="3" t="s">
        <v>568</v>
      </c>
      <c r="D565" s="3">
        <v>32</v>
      </c>
      <c r="E565" s="3">
        <v>32</v>
      </c>
      <c r="F565" s="3">
        <v>0</v>
      </c>
      <c r="G565" s="3" t="str">
        <f t="shared" si="16"/>
        <v>2025-05</v>
      </c>
      <c r="H565" s="26">
        <f t="shared" si="17"/>
        <v>1</v>
      </c>
    </row>
    <row r="566" spans="1:8" ht="17.399999999999999">
      <c r="A566" s="25">
        <v>45799</v>
      </c>
      <c r="B566" s="3" t="s">
        <v>6</v>
      </c>
      <c r="C566" s="3" t="s">
        <v>569</v>
      </c>
      <c r="D566" s="3">
        <v>38</v>
      </c>
      <c r="E566" s="3">
        <v>28</v>
      </c>
      <c r="F566" s="3">
        <v>10</v>
      </c>
      <c r="G566" s="3" t="str">
        <f t="shared" si="16"/>
        <v>2025-05</v>
      </c>
      <c r="H566" s="26">
        <f t="shared" si="17"/>
        <v>0.73684210526315785</v>
      </c>
    </row>
    <row r="567" spans="1:8" ht="17.399999999999999">
      <c r="A567" s="25">
        <v>45799</v>
      </c>
      <c r="B567" s="3" t="s">
        <v>8</v>
      </c>
      <c r="C567" s="3" t="s">
        <v>570</v>
      </c>
      <c r="D567" s="3">
        <v>56</v>
      </c>
      <c r="E567" s="3">
        <v>54</v>
      </c>
      <c r="F567" s="3">
        <v>2</v>
      </c>
      <c r="G567" s="3" t="str">
        <f t="shared" si="16"/>
        <v>2025-05</v>
      </c>
      <c r="H567" s="26">
        <f t="shared" si="17"/>
        <v>0.9642857142857143</v>
      </c>
    </row>
    <row r="568" spans="1:8" ht="17.399999999999999">
      <c r="A568" s="25">
        <v>45799</v>
      </c>
      <c r="B568" s="3" t="s">
        <v>10</v>
      </c>
      <c r="C568" s="3" t="s">
        <v>571</v>
      </c>
      <c r="D568" s="3">
        <v>80</v>
      </c>
      <c r="E568" s="3">
        <v>70</v>
      </c>
      <c r="F568" s="3">
        <v>10</v>
      </c>
      <c r="G568" s="3" t="str">
        <f t="shared" si="16"/>
        <v>2025-05</v>
      </c>
      <c r="H568" s="26">
        <f t="shared" si="17"/>
        <v>0.875</v>
      </c>
    </row>
    <row r="569" spans="1:8" ht="17.399999999999999">
      <c r="A569" s="25">
        <v>45799</v>
      </c>
      <c r="B569" s="3" t="s">
        <v>12</v>
      </c>
      <c r="C569" s="3" t="s">
        <v>572</v>
      </c>
      <c r="D569" s="3">
        <v>30</v>
      </c>
      <c r="E569" s="3">
        <v>21</v>
      </c>
      <c r="F569" s="3">
        <v>9</v>
      </c>
      <c r="G569" s="3" t="str">
        <f t="shared" si="16"/>
        <v>2025-05</v>
      </c>
      <c r="H569" s="26">
        <f t="shared" si="17"/>
        <v>0.7</v>
      </c>
    </row>
    <row r="570" spans="1:8" ht="17.399999999999999">
      <c r="A570" s="25">
        <v>45800</v>
      </c>
      <c r="B570" s="3" t="s">
        <v>6</v>
      </c>
      <c r="C570" s="3" t="s">
        <v>573</v>
      </c>
      <c r="D570" s="3">
        <v>47</v>
      </c>
      <c r="E570" s="3">
        <v>36</v>
      </c>
      <c r="F570" s="3">
        <v>11</v>
      </c>
      <c r="G570" s="3" t="str">
        <f t="shared" si="16"/>
        <v>2025-05</v>
      </c>
      <c r="H570" s="26">
        <f t="shared" si="17"/>
        <v>0.76595744680851063</v>
      </c>
    </row>
    <row r="571" spans="1:8" ht="17.399999999999999">
      <c r="A571" s="25">
        <v>45800</v>
      </c>
      <c r="B571" s="3" t="s">
        <v>8</v>
      </c>
      <c r="C571" s="3" t="s">
        <v>574</v>
      </c>
      <c r="D571" s="3">
        <v>97</v>
      </c>
      <c r="E571" s="3">
        <v>83</v>
      </c>
      <c r="F571" s="3">
        <v>14</v>
      </c>
      <c r="G571" s="3" t="str">
        <f t="shared" si="16"/>
        <v>2025-05</v>
      </c>
      <c r="H571" s="26">
        <f t="shared" si="17"/>
        <v>0.85567010309278346</v>
      </c>
    </row>
    <row r="572" spans="1:8" ht="17.399999999999999">
      <c r="A572" s="25">
        <v>45800</v>
      </c>
      <c r="B572" s="3" t="s">
        <v>10</v>
      </c>
      <c r="C572" s="3" t="s">
        <v>575</v>
      </c>
      <c r="D572" s="3">
        <v>34</v>
      </c>
      <c r="E572" s="3">
        <v>27</v>
      </c>
      <c r="F572" s="3">
        <v>7</v>
      </c>
      <c r="G572" s="3" t="str">
        <f t="shared" si="16"/>
        <v>2025-05</v>
      </c>
      <c r="H572" s="26">
        <f t="shared" si="17"/>
        <v>0.79411764705882348</v>
      </c>
    </row>
    <row r="573" spans="1:8" ht="17.399999999999999">
      <c r="A573" s="25">
        <v>45800</v>
      </c>
      <c r="B573" s="3" t="s">
        <v>12</v>
      </c>
      <c r="C573" s="3" t="s">
        <v>576</v>
      </c>
      <c r="D573" s="3">
        <v>58</v>
      </c>
      <c r="E573" s="3">
        <v>43</v>
      </c>
      <c r="F573" s="3">
        <v>15</v>
      </c>
      <c r="G573" s="3" t="str">
        <f t="shared" si="16"/>
        <v>2025-05</v>
      </c>
      <c r="H573" s="26">
        <f t="shared" si="17"/>
        <v>0.74137931034482762</v>
      </c>
    </row>
    <row r="574" spans="1:8" ht="17.399999999999999">
      <c r="A574" s="25">
        <v>45801</v>
      </c>
      <c r="B574" s="3" t="s">
        <v>6</v>
      </c>
      <c r="C574" s="3" t="s">
        <v>577</v>
      </c>
      <c r="D574" s="3">
        <v>50</v>
      </c>
      <c r="E574" s="3">
        <v>48</v>
      </c>
      <c r="F574" s="3">
        <v>2</v>
      </c>
      <c r="G574" s="3" t="str">
        <f t="shared" si="16"/>
        <v>2025-05</v>
      </c>
      <c r="H574" s="26">
        <f t="shared" si="17"/>
        <v>0.96</v>
      </c>
    </row>
    <row r="575" spans="1:8" ht="17.399999999999999">
      <c r="A575" s="25">
        <v>45801</v>
      </c>
      <c r="B575" s="3" t="s">
        <v>8</v>
      </c>
      <c r="C575" s="3" t="s">
        <v>578</v>
      </c>
      <c r="D575" s="3">
        <v>28</v>
      </c>
      <c r="E575" s="3">
        <v>20</v>
      </c>
      <c r="F575" s="3">
        <v>8</v>
      </c>
      <c r="G575" s="3" t="str">
        <f t="shared" si="16"/>
        <v>2025-05</v>
      </c>
      <c r="H575" s="26">
        <f t="shared" si="17"/>
        <v>0.7142857142857143</v>
      </c>
    </row>
    <row r="576" spans="1:8" ht="17.399999999999999">
      <c r="A576" s="25">
        <v>45801</v>
      </c>
      <c r="B576" s="3" t="s">
        <v>10</v>
      </c>
      <c r="C576" s="3" t="s">
        <v>579</v>
      </c>
      <c r="D576" s="3">
        <v>96</v>
      </c>
      <c r="E576" s="3">
        <v>84</v>
      </c>
      <c r="F576" s="3">
        <v>12</v>
      </c>
      <c r="G576" s="3" t="str">
        <f t="shared" si="16"/>
        <v>2025-05</v>
      </c>
      <c r="H576" s="26">
        <f t="shared" si="17"/>
        <v>0.875</v>
      </c>
    </row>
    <row r="577" spans="1:8" ht="17.399999999999999">
      <c r="A577" s="25">
        <v>45801</v>
      </c>
      <c r="B577" s="3" t="s">
        <v>12</v>
      </c>
      <c r="C577" s="3" t="s">
        <v>580</v>
      </c>
      <c r="D577" s="3">
        <v>100</v>
      </c>
      <c r="E577" s="3">
        <v>86</v>
      </c>
      <c r="F577" s="3">
        <v>14</v>
      </c>
      <c r="G577" s="3" t="str">
        <f t="shared" si="16"/>
        <v>2025-05</v>
      </c>
      <c r="H577" s="26">
        <f t="shared" si="17"/>
        <v>0.86</v>
      </c>
    </row>
    <row r="578" spans="1:8" ht="17.399999999999999">
      <c r="A578" s="25">
        <v>45802</v>
      </c>
      <c r="B578" s="3" t="s">
        <v>6</v>
      </c>
      <c r="C578" s="3" t="s">
        <v>581</v>
      </c>
      <c r="D578" s="3">
        <v>38</v>
      </c>
      <c r="E578" s="3">
        <v>30</v>
      </c>
      <c r="F578" s="3">
        <v>8</v>
      </c>
      <c r="G578" s="3" t="str">
        <f t="shared" si="16"/>
        <v>2025-05</v>
      </c>
      <c r="H578" s="26">
        <f t="shared" si="17"/>
        <v>0.78947368421052633</v>
      </c>
    </row>
    <row r="579" spans="1:8" ht="17.399999999999999">
      <c r="A579" s="25">
        <v>45802</v>
      </c>
      <c r="B579" s="3" t="s">
        <v>8</v>
      </c>
      <c r="C579" s="3" t="s">
        <v>582</v>
      </c>
      <c r="D579" s="3">
        <v>20</v>
      </c>
      <c r="E579" s="3">
        <v>18</v>
      </c>
      <c r="F579" s="3">
        <v>2</v>
      </c>
      <c r="G579" s="3" t="str">
        <f t="shared" ref="G579:G642" si="18">TEXT(A579,"yyyy-mm")</f>
        <v>2025-05</v>
      </c>
      <c r="H579" s="26">
        <f t="shared" ref="H579:H642" si="19">E579/D579</f>
        <v>0.9</v>
      </c>
    </row>
    <row r="580" spans="1:8" ht="17.399999999999999">
      <c r="A580" s="25">
        <v>45802</v>
      </c>
      <c r="B580" s="3" t="s">
        <v>10</v>
      </c>
      <c r="C580" s="3" t="s">
        <v>583</v>
      </c>
      <c r="D580" s="3">
        <v>50</v>
      </c>
      <c r="E580" s="3">
        <v>48</v>
      </c>
      <c r="F580" s="3">
        <v>2</v>
      </c>
      <c r="G580" s="3" t="str">
        <f t="shared" si="18"/>
        <v>2025-05</v>
      </c>
      <c r="H580" s="26">
        <f t="shared" si="19"/>
        <v>0.96</v>
      </c>
    </row>
    <row r="581" spans="1:8" ht="17.399999999999999">
      <c r="A581" s="25">
        <v>45802</v>
      </c>
      <c r="B581" s="3" t="s">
        <v>12</v>
      </c>
      <c r="C581" s="3" t="s">
        <v>584</v>
      </c>
      <c r="D581" s="3">
        <v>30</v>
      </c>
      <c r="E581" s="3">
        <v>29</v>
      </c>
      <c r="F581" s="3">
        <v>1</v>
      </c>
      <c r="G581" s="3" t="str">
        <f t="shared" si="18"/>
        <v>2025-05</v>
      </c>
      <c r="H581" s="26">
        <f t="shared" si="19"/>
        <v>0.96666666666666667</v>
      </c>
    </row>
    <row r="582" spans="1:8" ht="17.399999999999999">
      <c r="A582" s="25">
        <v>45803</v>
      </c>
      <c r="B582" s="3" t="s">
        <v>6</v>
      </c>
      <c r="C582" s="3" t="s">
        <v>585</v>
      </c>
      <c r="D582" s="3">
        <v>28</v>
      </c>
      <c r="E582" s="3">
        <v>27</v>
      </c>
      <c r="F582" s="3">
        <v>1</v>
      </c>
      <c r="G582" s="3" t="str">
        <f t="shared" si="18"/>
        <v>2025-05</v>
      </c>
      <c r="H582" s="26">
        <f t="shared" si="19"/>
        <v>0.9642857142857143</v>
      </c>
    </row>
    <row r="583" spans="1:8" ht="17.399999999999999">
      <c r="A583" s="25">
        <v>45803</v>
      </c>
      <c r="B583" s="3" t="s">
        <v>8</v>
      </c>
      <c r="C583" s="3" t="s">
        <v>586</v>
      </c>
      <c r="D583" s="3">
        <v>84</v>
      </c>
      <c r="E583" s="3">
        <v>83</v>
      </c>
      <c r="F583" s="3">
        <v>1</v>
      </c>
      <c r="G583" s="3" t="str">
        <f t="shared" si="18"/>
        <v>2025-05</v>
      </c>
      <c r="H583" s="26">
        <f t="shared" si="19"/>
        <v>0.98809523809523814</v>
      </c>
    </row>
    <row r="584" spans="1:8" ht="17.399999999999999">
      <c r="A584" s="25">
        <v>45803</v>
      </c>
      <c r="B584" s="3" t="s">
        <v>10</v>
      </c>
      <c r="C584" s="3" t="s">
        <v>587</v>
      </c>
      <c r="D584" s="3">
        <v>90</v>
      </c>
      <c r="E584" s="3">
        <v>62</v>
      </c>
      <c r="F584" s="3">
        <v>28</v>
      </c>
      <c r="G584" s="3" t="str">
        <f t="shared" si="18"/>
        <v>2025-05</v>
      </c>
      <c r="H584" s="26">
        <f t="shared" si="19"/>
        <v>0.68888888888888888</v>
      </c>
    </row>
    <row r="585" spans="1:8" ht="17.399999999999999">
      <c r="A585" s="25">
        <v>45803</v>
      </c>
      <c r="B585" s="3" t="s">
        <v>12</v>
      </c>
      <c r="C585" s="3" t="s">
        <v>588</v>
      </c>
      <c r="D585" s="3">
        <v>80</v>
      </c>
      <c r="E585" s="3">
        <v>57</v>
      </c>
      <c r="F585" s="3">
        <v>23</v>
      </c>
      <c r="G585" s="3" t="str">
        <f t="shared" si="18"/>
        <v>2025-05</v>
      </c>
      <c r="H585" s="26">
        <f t="shared" si="19"/>
        <v>0.71250000000000002</v>
      </c>
    </row>
    <row r="586" spans="1:8" ht="17.399999999999999">
      <c r="A586" s="25">
        <v>45804</v>
      </c>
      <c r="B586" s="3" t="s">
        <v>6</v>
      </c>
      <c r="C586" s="3" t="s">
        <v>589</v>
      </c>
      <c r="D586" s="3">
        <v>67</v>
      </c>
      <c r="E586" s="3">
        <v>54</v>
      </c>
      <c r="F586" s="3">
        <v>13</v>
      </c>
      <c r="G586" s="3" t="str">
        <f t="shared" si="18"/>
        <v>2025-05</v>
      </c>
      <c r="H586" s="26">
        <f t="shared" si="19"/>
        <v>0.80597014925373134</v>
      </c>
    </row>
    <row r="587" spans="1:8" ht="17.399999999999999">
      <c r="A587" s="25">
        <v>45804</v>
      </c>
      <c r="B587" s="3" t="s">
        <v>8</v>
      </c>
      <c r="C587" s="3" t="s">
        <v>590</v>
      </c>
      <c r="D587" s="3">
        <v>65</v>
      </c>
      <c r="E587" s="3">
        <v>47</v>
      </c>
      <c r="F587" s="3">
        <v>18</v>
      </c>
      <c r="G587" s="3" t="str">
        <f t="shared" si="18"/>
        <v>2025-05</v>
      </c>
      <c r="H587" s="26">
        <f t="shared" si="19"/>
        <v>0.72307692307692306</v>
      </c>
    </row>
    <row r="588" spans="1:8" ht="17.399999999999999">
      <c r="A588" s="25">
        <v>45804</v>
      </c>
      <c r="B588" s="3" t="s">
        <v>10</v>
      </c>
      <c r="C588" s="3" t="s">
        <v>591</v>
      </c>
      <c r="D588" s="3">
        <v>50</v>
      </c>
      <c r="E588" s="3">
        <v>38</v>
      </c>
      <c r="F588" s="3">
        <v>12</v>
      </c>
      <c r="G588" s="3" t="str">
        <f t="shared" si="18"/>
        <v>2025-05</v>
      </c>
      <c r="H588" s="26">
        <f t="shared" si="19"/>
        <v>0.76</v>
      </c>
    </row>
    <row r="589" spans="1:8" ht="17.399999999999999">
      <c r="A589" s="25">
        <v>45804</v>
      </c>
      <c r="B589" s="3" t="s">
        <v>12</v>
      </c>
      <c r="C589" s="3" t="s">
        <v>592</v>
      </c>
      <c r="D589" s="3">
        <v>37</v>
      </c>
      <c r="E589" s="3">
        <v>25</v>
      </c>
      <c r="F589" s="3">
        <v>12</v>
      </c>
      <c r="G589" s="3" t="str">
        <f t="shared" si="18"/>
        <v>2025-05</v>
      </c>
      <c r="H589" s="26">
        <f t="shared" si="19"/>
        <v>0.67567567567567566</v>
      </c>
    </row>
    <row r="590" spans="1:8" ht="17.399999999999999">
      <c r="A590" s="25">
        <v>45805</v>
      </c>
      <c r="B590" s="3" t="s">
        <v>6</v>
      </c>
      <c r="C590" s="3" t="s">
        <v>593</v>
      </c>
      <c r="D590" s="3">
        <v>89</v>
      </c>
      <c r="E590" s="3">
        <v>72</v>
      </c>
      <c r="F590" s="3">
        <v>17</v>
      </c>
      <c r="G590" s="3" t="str">
        <f t="shared" si="18"/>
        <v>2025-05</v>
      </c>
      <c r="H590" s="26">
        <f t="shared" si="19"/>
        <v>0.8089887640449438</v>
      </c>
    </row>
    <row r="591" spans="1:8" ht="17.399999999999999">
      <c r="A591" s="25">
        <v>45805</v>
      </c>
      <c r="B591" s="3" t="s">
        <v>8</v>
      </c>
      <c r="C591" s="3" t="s">
        <v>594</v>
      </c>
      <c r="D591" s="3">
        <v>79</v>
      </c>
      <c r="E591" s="3">
        <v>77</v>
      </c>
      <c r="F591" s="3">
        <v>2</v>
      </c>
      <c r="G591" s="3" t="str">
        <f t="shared" si="18"/>
        <v>2025-05</v>
      </c>
      <c r="H591" s="26">
        <f t="shared" si="19"/>
        <v>0.97468354430379744</v>
      </c>
    </row>
    <row r="592" spans="1:8" ht="17.399999999999999">
      <c r="A592" s="25">
        <v>45805</v>
      </c>
      <c r="B592" s="3" t="s">
        <v>10</v>
      </c>
      <c r="C592" s="3" t="s">
        <v>595</v>
      </c>
      <c r="D592" s="3">
        <v>100</v>
      </c>
      <c r="E592" s="3">
        <v>75</v>
      </c>
      <c r="F592" s="3">
        <v>25</v>
      </c>
      <c r="G592" s="3" t="str">
        <f t="shared" si="18"/>
        <v>2025-05</v>
      </c>
      <c r="H592" s="26">
        <f t="shared" si="19"/>
        <v>0.75</v>
      </c>
    </row>
    <row r="593" spans="1:8" ht="17.399999999999999">
      <c r="A593" s="25">
        <v>45805</v>
      </c>
      <c r="B593" s="3" t="s">
        <v>12</v>
      </c>
      <c r="C593" s="3" t="s">
        <v>596</v>
      </c>
      <c r="D593" s="3">
        <v>28</v>
      </c>
      <c r="E593" s="3">
        <v>26</v>
      </c>
      <c r="F593" s="3">
        <v>2</v>
      </c>
      <c r="G593" s="3" t="str">
        <f t="shared" si="18"/>
        <v>2025-05</v>
      </c>
      <c r="H593" s="26">
        <f t="shared" si="19"/>
        <v>0.9285714285714286</v>
      </c>
    </row>
    <row r="594" spans="1:8" ht="17.399999999999999">
      <c r="A594" s="25">
        <v>45806</v>
      </c>
      <c r="B594" s="3" t="s">
        <v>6</v>
      </c>
      <c r="C594" s="3" t="s">
        <v>597</v>
      </c>
      <c r="D594" s="3">
        <v>57</v>
      </c>
      <c r="E594" s="3">
        <v>45</v>
      </c>
      <c r="F594" s="3">
        <v>12</v>
      </c>
      <c r="G594" s="3" t="str">
        <f t="shared" si="18"/>
        <v>2025-05</v>
      </c>
      <c r="H594" s="26">
        <f t="shared" si="19"/>
        <v>0.78947368421052633</v>
      </c>
    </row>
    <row r="595" spans="1:8" ht="17.399999999999999">
      <c r="A595" s="25">
        <v>45806</v>
      </c>
      <c r="B595" s="3" t="s">
        <v>8</v>
      </c>
      <c r="C595" s="3" t="s">
        <v>598</v>
      </c>
      <c r="D595" s="3">
        <v>45</v>
      </c>
      <c r="E595" s="3">
        <v>45</v>
      </c>
      <c r="F595" s="3">
        <v>0</v>
      </c>
      <c r="G595" s="3" t="str">
        <f t="shared" si="18"/>
        <v>2025-05</v>
      </c>
      <c r="H595" s="26">
        <f t="shared" si="19"/>
        <v>1</v>
      </c>
    </row>
    <row r="596" spans="1:8" ht="17.399999999999999">
      <c r="A596" s="25">
        <v>45806</v>
      </c>
      <c r="B596" s="3" t="s">
        <v>10</v>
      </c>
      <c r="C596" s="3" t="s">
        <v>599</v>
      </c>
      <c r="D596" s="3">
        <v>60</v>
      </c>
      <c r="E596" s="3">
        <v>51</v>
      </c>
      <c r="F596" s="3">
        <v>9</v>
      </c>
      <c r="G596" s="3" t="str">
        <f t="shared" si="18"/>
        <v>2025-05</v>
      </c>
      <c r="H596" s="26">
        <f t="shared" si="19"/>
        <v>0.85</v>
      </c>
    </row>
    <row r="597" spans="1:8" ht="17.399999999999999">
      <c r="A597" s="25">
        <v>45806</v>
      </c>
      <c r="B597" s="3" t="s">
        <v>12</v>
      </c>
      <c r="C597" s="3" t="s">
        <v>600</v>
      </c>
      <c r="D597" s="3">
        <v>70</v>
      </c>
      <c r="E597" s="3">
        <v>66</v>
      </c>
      <c r="F597" s="3">
        <v>4</v>
      </c>
      <c r="G597" s="3" t="str">
        <f t="shared" si="18"/>
        <v>2025-05</v>
      </c>
      <c r="H597" s="26">
        <f t="shared" si="19"/>
        <v>0.94285714285714284</v>
      </c>
    </row>
    <row r="598" spans="1:8" ht="17.399999999999999">
      <c r="A598" s="25">
        <v>45807</v>
      </c>
      <c r="B598" s="3" t="s">
        <v>6</v>
      </c>
      <c r="C598" s="3" t="s">
        <v>601</v>
      </c>
      <c r="D598" s="3">
        <v>52</v>
      </c>
      <c r="E598" s="3">
        <v>37</v>
      </c>
      <c r="F598" s="3">
        <v>15</v>
      </c>
      <c r="G598" s="3" t="str">
        <f t="shared" si="18"/>
        <v>2025-05</v>
      </c>
      <c r="H598" s="26">
        <f t="shared" si="19"/>
        <v>0.71153846153846156</v>
      </c>
    </row>
    <row r="599" spans="1:8" ht="17.399999999999999">
      <c r="A599" s="25">
        <v>45807</v>
      </c>
      <c r="B599" s="3" t="s">
        <v>8</v>
      </c>
      <c r="C599" s="3" t="s">
        <v>602</v>
      </c>
      <c r="D599" s="3">
        <v>56</v>
      </c>
      <c r="E599" s="3">
        <v>50</v>
      </c>
      <c r="F599" s="3">
        <v>6</v>
      </c>
      <c r="G599" s="3" t="str">
        <f t="shared" si="18"/>
        <v>2025-05</v>
      </c>
      <c r="H599" s="26">
        <f t="shared" si="19"/>
        <v>0.8928571428571429</v>
      </c>
    </row>
    <row r="600" spans="1:8" ht="17.399999999999999">
      <c r="A600" s="25">
        <v>45807</v>
      </c>
      <c r="B600" s="3" t="s">
        <v>10</v>
      </c>
      <c r="C600" s="3" t="s">
        <v>603</v>
      </c>
      <c r="D600" s="3">
        <v>62</v>
      </c>
      <c r="E600" s="3">
        <v>51</v>
      </c>
      <c r="F600" s="3">
        <v>11</v>
      </c>
      <c r="G600" s="3" t="str">
        <f t="shared" si="18"/>
        <v>2025-05</v>
      </c>
      <c r="H600" s="26">
        <f t="shared" si="19"/>
        <v>0.82258064516129037</v>
      </c>
    </row>
    <row r="601" spans="1:8" ht="17.399999999999999">
      <c r="A601" s="25">
        <v>45807</v>
      </c>
      <c r="B601" s="3" t="s">
        <v>12</v>
      </c>
      <c r="C601" s="3" t="s">
        <v>604</v>
      </c>
      <c r="D601" s="3">
        <v>67</v>
      </c>
      <c r="E601" s="3">
        <v>59</v>
      </c>
      <c r="F601" s="3">
        <v>8</v>
      </c>
      <c r="G601" s="3" t="str">
        <f t="shared" si="18"/>
        <v>2025-05</v>
      </c>
      <c r="H601" s="26">
        <f t="shared" si="19"/>
        <v>0.88059701492537312</v>
      </c>
    </row>
    <row r="602" spans="1:8" ht="17.399999999999999">
      <c r="A602" s="25">
        <v>45808</v>
      </c>
      <c r="B602" s="3" t="s">
        <v>6</v>
      </c>
      <c r="C602" s="3" t="s">
        <v>605</v>
      </c>
      <c r="D602" s="3">
        <v>76</v>
      </c>
      <c r="E602" s="3">
        <v>65</v>
      </c>
      <c r="F602" s="3">
        <v>11</v>
      </c>
      <c r="G602" s="3" t="str">
        <f t="shared" si="18"/>
        <v>2025-05</v>
      </c>
      <c r="H602" s="26">
        <f t="shared" si="19"/>
        <v>0.85526315789473684</v>
      </c>
    </row>
    <row r="603" spans="1:8" ht="17.399999999999999">
      <c r="A603" s="25">
        <v>45808</v>
      </c>
      <c r="B603" s="3" t="s">
        <v>8</v>
      </c>
      <c r="C603" s="3" t="s">
        <v>606</v>
      </c>
      <c r="D603" s="3">
        <v>43</v>
      </c>
      <c r="E603" s="3">
        <v>37</v>
      </c>
      <c r="F603" s="3">
        <v>6</v>
      </c>
      <c r="G603" s="3" t="str">
        <f t="shared" si="18"/>
        <v>2025-05</v>
      </c>
      <c r="H603" s="26">
        <f t="shared" si="19"/>
        <v>0.86046511627906974</v>
      </c>
    </row>
    <row r="604" spans="1:8" ht="17.399999999999999">
      <c r="A604" s="25">
        <v>45808</v>
      </c>
      <c r="B604" s="3" t="s">
        <v>10</v>
      </c>
      <c r="C604" s="3" t="s">
        <v>607</v>
      </c>
      <c r="D604" s="3">
        <v>67</v>
      </c>
      <c r="E604" s="3">
        <v>62</v>
      </c>
      <c r="F604" s="3">
        <v>5</v>
      </c>
      <c r="G604" s="3" t="str">
        <f t="shared" si="18"/>
        <v>2025-05</v>
      </c>
      <c r="H604" s="26">
        <f t="shared" si="19"/>
        <v>0.92537313432835822</v>
      </c>
    </row>
    <row r="605" spans="1:8" ht="17.399999999999999">
      <c r="A605" s="25">
        <v>45808</v>
      </c>
      <c r="B605" s="3" t="s">
        <v>12</v>
      </c>
      <c r="C605" s="3" t="s">
        <v>608</v>
      </c>
      <c r="D605" s="3">
        <v>30</v>
      </c>
      <c r="E605" s="3">
        <v>27</v>
      </c>
      <c r="F605" s="3">
        <v>3</v>
      </c>
      <c r="G605" s="3" t="str">
        <f t="shared" si="18"/>
        <v>2025-05</v>
      </c>
      <c r="H605" s="26">
        <f t="shared" si="19"/>
        <v>0.9</v>
      </c>
    </row>
    <row r="606" spans="1:8" ht="17.399999999999999">
      <c r="A606" s="25">
        <v>45809</v>
      </c>
      <c r="B606" s="3" t="s">
        <v>6</v>
      </c>
      <c r="C606" s="3" t="s">
        <v>609</v>
      </c>
      <c r="D606" s="3">
        <v>75</v>
      </c>
      <c r="E606" s="3">
        <v>71</v>
      </c>
      <c r="F606" s="3">
        <v>4</v>
      </c>
      <c r="G606" s="3" t="str">
        <f t="shared" si="18"/>
        <v>2025-06</v>
      </c>
      <c r="H606" s="26">
        <f t="shared" si="19"/>
        <v>0.94666666666666666</v>
      </c>
    </row>
    <row r="607" spans="1:8" ht="17.399999999999999">
      <c r="A607" s="25">
        <v>45809</v>
      </c>
      <c r="B607" s="3" t="s">
        <v>8</v>
      </c>
      <c r="C607" s="3" t="s">
        <v>610</v>
      </c>
      <c r="D607" s="3">
        <v>89</v>
      </c>
      <c r="E607" s="3">
        <v>71</v>
      </c>
      <c r="F607" s="3">
        <v>18</v>
      </c>
      <c r="G607" s="3" t="str">
        <f t="shared" si="18"/>
        <v>2025-06</v>
      </c>
      <c r="H607" s="26">
        <f t="shared" si="19"/>
        <v>0.797752808988764</v>
      </c>
    </row>
    <row r="608" spans="1:8" ht="17.399999999999999">
      <c r="A608" s="25">
        <v>45809</v>
      </c>
      <c r="B608" s="3" t="s">
        <v>10</v>
      </c>
      <c r="C608" s="3" t="s">
        <v>611</v>
      </c>
      <c r="D608" s="3">
        <v>33</v>
      </c>
      <c r="E608" s="3">
        <v>24</v>
      </c>
      <c r="F608" s="3">
        <v>9</v>
      </c>
      <c r="G608" s="3" t="str">
        <f t="shared" si="18"/>
        <v>2025-06</v>
      </c>
      <c r="H608" s="26">
        <f t="shared" si="19"/>
        <v>0.72727272727272729</v>
      </c>
    </row>
    <row r="609" spans="1:8" ht="17.399999999999999">
      <c r="A609" s="25">
        <v>45809</v>
      </c>
      <c r="B609" s="3" t="s">
        <v>12</v>
      </c>
      <c r="C609" s="3" t="s">
        <v>612</v>
      </c>
      <c r="D609" s="3">
        <v>57</v>
      </c>
      <c r="E609" s="3">
        <v>48</v>
      </c>
      <c r="F609" s="3">
        <v>9</v>
      </c>
      <c r="G609" s="3" t="str">
        <f t="shared" si="18"/>
        <v>2025-06</v>
      </c>
      <c r="H609" s="26">
        <f t="shared" si="19"/>
        <v>0.84210526315789469</v>
      </c>
    </row>
    <row r="610" spans="1:8" ht="17.399999999999999">
      <c r="A610" s="25">
        <v>45810</v>
      </c>
      <c r="B610" s="3" t="s">
        <v>6</v>
      </c>
      <c r="C610" s="3" t="s">
        <v>189</v>
      </c>
      <c r="D610" s="3">
        <v>97</v>
      </c>
      <c r="E610" s="3">
        <v>89</v>
      </c>
      <c r="F610" s="3">
        <v>8</v>
      </c>
      <c r="G610" s="3" t="str">
        <f t="shared" si="18"/>
        <v>2025-06</v>
      </c>
      <c r="H610" s="26">
        <f t="shared" si="19"/>
        <v>0.91752577319587625</v>
      </c>
    </row>
    <row r="611" spans="1:8" ht="17.399999999999999">
      <c r="A611" s="25">
        <v>45810</v>
      </c>
      <c r="B611" s="3" t="s">
        <v>8</v>
      </c>
      <c r="C611" s="3" t="s">
        <v>613</v>
      </c>
      <c r="D611" s="3">
        <v>41</v>
      </c>
      <c r="E611" s="3">
        <v>39</v>
      </c>
      <c r="F611" s="3">
        <v>2</v>
      </c>
      <c r="G611" s="3" t="str">
        <f t="shared" si="18"/>
        <v>2025-06</v>
      </c>
      <c r="H611" s="26">
        <f t="shared" si="19"/>
        <v>0.95121951219512191</v>
      </c>
    </row>
    <row r="612" spans="1:8" ht="17.399999999999999">
      <c r="A612" s="25">
        <v>45810</v>
      </c>
      <c r="B612" s="3" t="s">
        <v>10</v>
      </c>
      <c r="C612" s="3" t="s">
        <v>614</v>
      </c>
      <c r="D612" s="3">
        <v>64</v>
      </c>
      <c r="E612" s="3">
        <v>58</v>
      </c>
      <c r="F612" s="3">
        <v>6</v>
      </c>
      <c r="G612" s="3" t="str">
        <f t="shared" si="18"/>
        <v>2025-06</v>
      </c>
      <c r="H612" s="26">
        <f t="shared" si="19"/>
        <v>0.90625</v>
      </c>
    </row>
    <row r="613" spans="1:8" ht="17.399999999999999">
      <c r="A613" s="25">
        <v>45810</v>
      </c>
      <c r="B613" s="3" t="s">
        <v>12</v>
      </c>
      <c r="C613" s="3" t="s">
        <v>615</v>
      </c>
      <c r="D613" s="3">
        <v>65</v>
      </c>
      <c r="E613" s="3">
        <v>64</v>
      </c>
      <c r="F613" s="3">
        <v>1</v>
      </c>
      <c r="G613" s="3" t="str">
        <f t="shared" si="18"/>
        <v>2025-06</v>
      </c>
      <c r="H613" s="26">
        <f t="shared" si="19"/>
        <v>0.98461538461538467</v>
      </c>
    </row>
    <row r="614" spans="1:8" ht="17.399999999999999">
      <c r="A614" s="25">
        <v>45811</v>
      </c>
      <c r="B614" s="3" t="s">
        <v>6</v>
      </c>
      <c r="C614" s="3" t="s">
        <v>616</v>
      </c>
      <c r="D614" s="3">
        <v>55</v>
      </c>
      <c r="E614" s="3">
        <v>39</v>
      </c>
      <c r="F614" s="3">
        <v>16</v>
      </c>
      <c r="G614" s="3" t="str">
        <f t="shared" si="18"/>
        <v>2025-06</v>
      </c>
      <c r="H614" s="26">
        <f t="shared" si="19"/>
        <v>0.70909090909090911</v>
      </c>
    </row>
    <row r="615" spans="1:8" ht="17.399999999999999">
      <c r="A615" s="25">
        <v>45811</v>
      </c>
      <c r="B615" s="3" t="s">
        <v>8</v>
      </c>
      <c r="C615" s="3" t="s">
        <v>617</v>
      </c>
      <c r="D615" s="3">
        <v>71</v>
      </c>
      <c r="E615" s="3">
        <v>60</v>
      </c>
      <c r="F615" s="3">
        <v>11</v>
      </c>
      <c r="G615" s="3" t="str">
        <f t="shared" si="18"/>
        <v>2025-06</v>
      </c>
      <c r="H615" s="26">
        <f t="shared" si="19"/>
        <v>0.84507042253521125</v>
      </c>
    </row>
    <row r="616" spans="1:8" ht="17.399999999999999">
      <c r="A616" s="25">
        <v>45811</v>
      </c>
      <c r="B616" s="3" t="s">
        <v>10</v>
      </c>
      <c r="C616" s="3" t="s">
        <v>618</v>
      </c>
      <c r="D616" s="3">
        <v>40</v>
      </c>
      <c r="E616" s="3">
        <v>28</v>
      </c>
      <c r="F616" s="3">
        <v>12</v>
      </c>
      <c r="G616" s="3" t="str">
        <f t="shared" si="18"/>
        <v>2025-06</v>
      </c>
      <c r="H616" s="26">
        <f t="shared" si="19"/>
        <v>0.7</v>
      </c>
    </row>
    <row r="617" spans="1:8" ht="17.399999999999999">
      <c r="A617" s="25">
        <v>45811</v>
      </c>
      <c r="B617" s="3" t="s">
        <v>12</v>
      </c>
      <c r="C617" s="3" t="s">
        <v>619</v>
      </c>
      <c r="D617" s="3">
        <v>97</v>
      </c>
      <c r="E617" s="3">
        <v>88</v>
      </c>
      <c r="F617" s="3">
        <v>9</v>
      </c>
      <c r="G617" s="3" t="str">
        <f t="shared" si="18"/>
        <v>2025-06</v>
      </c>
      <c r="H617" s="26">
        <f t="shared" si="19"/>
        <v>0.90721649484536082</v>
      </c>
    </row>
    <row r="618" spans="1:8" ht="17.399999999999999">
      <c r="A618" s="25">
        <v>45812</v>
      </c>
      <c r="B618" s="3" t="s">
        <v>6</v>
      </c>
      <c r="C618" s="3" t="s">
        <v>620</v>
      </c>
      <c r="D618" s="3">
        <v>24</v>
      </c>
      <c r="E618" s="3">
        <v>18</v>
      </c>
      <c r="F618" s="3">
        <v>6</v>
      </c>
      <c r="G618" s="3" t="str">
        <f t="shared" si="18"/>
        <v>2025-06</v>
      </c>
      <c r="H618" s="26">
        <f t="shared" si="19"/>
        <v>0.75</v>
      </c>
    </row>
    <row r="619" spans="1:8" ht="17.399999999999999">
      <c r="A619" s="25">
        <v>45812</v>
      </c>
      <c r="B619" s="3" t="s">
        <v>8</v>
      </c>
      <c r="C619" s="3" t="s">
        <v>621</v>
      </c>
      <c r="D619" s="3">
        <v>50</v>
      </c>
      <c r="E619" s="3">
        <v>46</v>
      </c>
      <c r="F619" s="3">
        <v>4</v>
      </c>
      <c r="G619" s="3" t="str">
        <f t="shared" si="18"/>
        <v>2025-06</v>
      </c>
      <c r="H619" s="26">
        <f t="shared" si="19"/>
        <v>0.92</v>
      </c>
    </row>
    <row r="620" spans="1:8" ht="17.399999999999999">
      <c r="A620" s="25">
        <v>45812</v>
      </c>
      <c r="B620" s="3" t="s">
        <v>10</v>
      </c>
      <c r="C620" s="3" t="s">
        <v>622</v>
      </c>
      <c r="D620" s="3">
        <v>69</v>
      </c>
      <c r="E620" s="3">
        <v>66</v>
      </c>
      <c r="F620" s="3">
        <v>3</v>
      </c>
      <c r="G620" s="3" t="str">
        <f t="shared" si="18"/>
        <v>2025-06</v>
      </c>
      <c r="H620" s="26">
        <f t="shared" si="19"/>
        <v>0.95652173913043481</v>
      </c>
    </row>
    <row r="621" spans="1:8" ht="17.399999999999999">
      <c r="A621" s="25">
        <v>45812</v>
      </c>
      <c r="B621" s="3" t="s">
        <v>12</v>
      </c>
      <c r="C621" s="3" t="s">
        <v>623</v>
      </c>
      <c r="D621" s="3">
        <v>97</v>
      </c>
      <c r="E621" s="3">
        <v>71</v>
      </c>
      <c r="F621" s="3">
        <v>26</v>
      </c>
      <c r="G621" s="3" t="str">
        <f t="shared" si="18"/>
        <v>2025-06</v>
      </c>
      <c r="H621" s="26">
        <f t="shared" si="19"/>
        <v>0.73195876288659789</v>
      </c>
    </row>
    <row r="622" spans="1:8" ht="17.399999999999999">
      <c r="A622" s="25">
        <v>45813</v>
      </c>
      <c r="B622" s="3" t="s">
        <v>6</v>
      </c>
      <c r="C622" s="3" t="s">
        <v>624</v>
      </c>
      <c r="D622" s="3">
        <v>67</v>
      </c>
      <c r="E622" s="3">
        <v>57</v>
      </c>
      <c r="F622" s="3">
        <v>10</v>
      </c>
      <c r="G622" s="3" t="str">
        <f t="shared" si="18"/>
        <v>2025-06</v>
      </c>
      <c r="H622" s="26">
        <f t="shared" si="19"/>
        <v>0.85074626865671643</v>
      </c>
    </row>
    <row r="623" spans="1:8" ht="17.399999999999999">
      <c r="A623" s="25">
        <v>45813</v>
      </c>
      <c r="B623" s="3" t="s">
        <v>8</v>
      </c>
      <c r="C623" s="3" t="s">
        <v>625</v>
      </c>
      <c r="D623" s="3">
        <v>29</v>
      </c>
      <c r="E623" s="3">
        <v>29</v>
      </c>
      <c r="F623" s="3">
        <v>0</v>
      </c>
      <c r="G623" s="3" t="str">
        <f t="shared" si="18"/>
        <v>2025-06</v>
      </c>
      <c r="H623" s="26">
        <f t="shared" si="19"/>
        <v>1</v>
      </c>
    </row>
    <row r="624" spans="1:8" ht="17.399999999999999">
      <c r="A624" s="25">
        <v>45813</v>
      </c>
      <c r="B624" s="3" t="s">
        <v>10</v>
      </c>
      <c r="C624" s="3" t="s">
        <v>626</v>
      </c>
      <c r="D624" s="3">
        <v>87</v>
      </c>
      <c r="E624" s="3">
        <v>71</v>
      </c>
      <c r="F624" s="3">
        <v>16</v>
      </c>
      <c r="G624" s="3" t="str">
        <f t="shared" si="18"/>
        <v>2025-06</v>
      </c>
      <c r="H624" s="26">
        <f t="shared" si="19"/>
        <v>0.81609195402298851</v>
      </c>
    </row>
    <row r="625" spans="1:8" ht="17.399999999999999">
      <c r="A625" s="25">
        <v>45813</v>
      </c>
      <c r="B625" s="3" t="s">
        <v>12</v>
      </c>
      <c r="C625" s="3" t="s">
        <v>627</v>
      </c>
      <c r="D625" s="3">
        <v>60</v>
      </c>
      <c r="E625" s="3">
        <v>50</v>
      </c>
      <c r="F625" s="3">
        <v>10</v>
      </c>
      <c r="G625" s="3" t="str">
        <f t="shared" si="18"/>
        <v>2025-06</v>
      </c>
      <c r="H625" s="26">
        <f t="shared" si="19"/>
        <v>0.83333333333333337</v>
      </c>
    </row>
    <row r="626" spans="1:8" ht="17.399999999999999">
      <c r="A626" s="25">
        <v>45814</v>
      </c>
      <c r="B626" s="3" t="s">
        <v>6</v>
      </c>
      <c r="C626" s="3" t="s">
        <v>628</v>
      </c>
      <c r="D626" s="3">
        <v>34</v>
      </c>
      <c r="E626" s="3">
        <v>23</v>
      </c>
      <c r="F626" s="3">
        <v>11</v>
      </c>
      <c r="G626" s="3" t="str">
        <f t="shared" si="18"/>
        <v>2025-06</v>
      </c>
      <c r="H626" s="26">
        <f t="shared" si="19"/>
        <v>0.67647058823529416</v>
      </c>
    </row>
    <row r="627" spans="1:8" ht="17.399999999999999">
      <c r="A627" s="25">
        <v>45814</v>
      </c>
      <c r="B627" s="3" t="s">
        <v>8</v>
      </c>
      <c r="C627" s="3" t="s">
        <v>629</v>
      </c>
      <c r="D627" s="3">
        <v>83</v>
      </c>
      <c r="E627" s="3">
        <v>74</v>
      </c>
      <c r="F627" s="3">
        <v>9</v>
      </c>
      <c r="G627" s="3" t="str">
        <f t="shared" si="18"/>
        <v>2025-06</v>
      </c>
      <c r="H627" s="26">
        <f t="shared" si="19"/>
        <v>0.89156626506024095</v>
      </c>
    </row>
    <row r="628" spans="1:8" ht="17.399999999999999">
      <c r="A628" s="25">
        <v>45814</v>
      </c>
      <c r="B628" s="3" t="s">
        <v>10</v>
      </c>
      <c r="C628" s="3" t="s">
        <v>630</v>
      </c>
      <c r="D628" s="3">
        <v>91</v>
      </c>
      <c r="E628" s="3">
        <v>66</v>
      </c>
      <c r="F628" s="3">
        <v>25</v>
      </c>
      <c r="G628" s="3" t="str">
        <f t="shared" si="18"/>
        <v>2025-06</v>
      </c>
      <c r="H628" s="26">
        <f t="shared" si="19"/>
        <v>0.72527472527472525</v>
      </c>
    </row>
    <row r="629" spans="1:8" ht="17.399999999999999">
      <c r="A629" s="25">
        <v>45814</v>
      </c>
      <c r="B629" s="3" t="s">
        <v>12</v>
      </c>
      <c r="C629" s="3" t="s">
        <v>631</v>
      </c>
      <c r="D629" s="3">
        <v>53</v>
      </c>
      <c r="E629" s="3">
        <v>51</v>
      </c>
      <c r="F629" s="3">
        <v>2</v>
      </c>
      <c r="G629" s="3" t="str">
        <f t="shared" si="18"/>
        <v>2025-06</v>
      </c>
      <c r="H629" s="26">
        <f t="shared" si="19"/>
        <v>0.96226415094339623</v>
      </c>
    </row>
    <row r="630" spans="1:8" ht="17.399999999999999">
      <c r="A630" s="25">
        <v>45815</v>
      </c>
      <c r="B630" s="3" t="s">
        <v>6</v>
      </c>
      <c r="C630" s="3" t="s">
        <v>632</v>
      </c>
      <c r="D630" s="3">
        <v>98</v>
      </c>
      <c r="E630" s="3">
        <v>77</v>
      </c>
      <c r="F630" s="3">
        <v>21</v>
      </c>
      <c r="G630" s="3" t="str">
        <f t="shared" si="18"/>
        <v>2025-06</v>
      </c>
      <c r="H630" s="26">
        <f t="shared" si="19"/>
        <v>0.7857142857142857</v>
      </c>
    </row>
    <row r="631" spans="1:8" ht="17.399999999999999">
      <c r="A631" s="25">
        <v>45815</v>
      </c>
      <c r="B631" s="3" t="s">
        <v>8</v>
      </c>
      <c r="C631" s="3" t="s">
        <v>633</v>
      </c>
      <c r="D631" s="3">
        <v>45</v>
      </c>
      <c r="E631" s="3">
        <v>32</v>
      </c>
      <c r="F631" s="3">
        <v>13</v>
      </c>
      <c r="G631" s="3" t="str">
        <f t="shared" si="18"/>
        <v>2025-06</v>
      </c>
      <c r="H631" s="26">
        <f t="shared" si="19"/>
        <v>0.71111111111111114</v>
      </c>
    </row>
    <row r="632" spans="1:8" ht="17.399999999999999">
      <c r="A632" s="25">
        <v>45815</v>
      </c>
      <c r="B632" s="3" t="s">
        <v>10</v>
      </c>
      <c r="C632" s="3" t="s">
        <v>634</v>
      </c>
      <c r="D632" s="3">
        <v>29</v>
      </c>
      <c r="E632" s="3">
        <v>27</v>
      </c>
      <c r="F632" s="3">
        <v>2</v>
      </c>
      <c r="G632" s="3" t="str">
        <f t="shared" si="18"/>
        <v>2025-06</v>
      </c>
      <c r="H632" s="26">
        <f t="shared" si="19"/>
        <v>0.93103448275862066</v>
      </c>
    </row>
    <row r="633" spans="1:8" ht="17.399999999999999">
      <c r="A633" s="25">
        <v>45815</v>
      </c>
      <c r="B633" s="3" t="s">
        <v>12</v>
      </c>
      <c r="C633" s="3" t="s">
        <v>635</v>
      </c>
      <c r="D633" s="3">
        <v>76</v>
      </c>
      <c r="E633" s="3">
        <v>55</v>
      </c>
      <c r="F633" s="3">
        <v>21</v>
      </c>
      <c r="G633" s="3" t="str">
        <f t="shared" si="18"/>
        <v>2025-06</v>
      </c>
      <c r="H633" s="26">
        <f t="shared" si="19"/>
        <v>0.72368421052631582</v>
      </c>
    </row>
    <row r="634" spans="1:8" ht="17.399999999999999">
      <c r="A634" s="25">
        <v>45816</v>
      </c>
      <c r="B634" s="3" t="s">
        <v>6</v>
      </c>
      <c r="C634" s="3" t="s">
        <v>636</v>
      </c>
      <c r="D634" s="3">
        <v>64</v>
      </c>
      <c r="E634" s="3">
        <v>46</v>
      </c>
      <c r="F634" s="3">
        <v>18</v>
      </c>
      <c r="G634" s="3" t="str">
        <f t="shared" si="18"/>
        <v>2025-06</v>
      </c>
      <c r="H634" s="26">
        <f t="shared" si="19"/>
        <v>0.71875</v>
      </c>
    </row>
    <row r="635" spans="1:8" ht="17.399999999999999">
      <c r="A635" s="25">
        <v>45816</v>
      </c>
      <c r="B635" s="3" t="s">
        <v>8</v>
      </c>
      <c r="C635" s="3" t="s">
        <v>637</v>
      </c>
      <c r="D635" s="3">
        <v>57</v>
      </c>
      <c r="E635" s="3">
        <v>48</v>
      </c>
      <c r="F635" s="3">
        <v>9</v>
      </c>
      <c r="G635" s="3" t="str">
        <f t="shared" si="18"/>
        <v>2025-06</v>
      </c>
      <c r="H635" s="26">
        <f t="shared" si="19"/>
        <v>0.84210526315789469</v>
      </c>
    </row>
    <row r="636" spans="1:8" ht="17.399999999999999">
      <c r="A636" s="25">
        <v>45816</v>
      </c>
      <c r="B636" s="3" t="s">
        <v>10</v>
      </c>
      <c r="C636" s="3" t="s">
        <v>638</v>
      </c>
      <c r="D636" s="3">
        <v>42</v>
      </c>
      <c r="E636" s="3">
        <v>41</v>
      </c>
      <c r="F636" s="3">
        <v>1</v>
      </c>
      <c r="G636" s="3" t="str">
        <f t="shared" si="18"/>
        <v>2025-06</v>
      </c>
      <c r="H636" s="26">
        <f t="shared" si="19"/>
        <v>0.97619047619047616</v>
      </c>
    </row>
    <row r="637" spans="1:8" ht="17.399999999999999">
      <c r="A637" s="25">
        <v>45816</v>
      </c>
      <c r="B637" s="3" t="s">
        <v>12</v>
      </c>
      <c r="C637" s="3" t="s">
        <v>639</v>
      </c>
      <c r="D637" s="3">
        <v>85</v>
      </c>
      <c r="E637" s="3">
        <v>66</v>
      </c>
      <c r="F637" s="3">
        <v>19</v>
      </c>
      <c r="G637" s="3" t="str">
        <f t="shared" si="18"/>
        <v>2025-06</v>
      </c>
      <c r="H637" s="26">
        <f t="shared" si="19"/>
        <v>0.77647058823529413</v>
      </c>
    </row>
    <row r="638" spans="1:8" ht="17.399999999999999">
      <c r="A638" s="25">
        <v>45817</v>
      </c>
      <c r="B638" s="3" t="s">
        <v>6</v>
      </c>
      <c r="C638" s="3" t="s">
        <v>640</v>
      </c>
      <c r="D638" s="3">
        <v>45</v>
      </c>
      <c r="E638" s="3">
        <v>43</v>
      </c>
      <c r="F638" s="3">
        <v>2</v>
      </c>
      <c r="G638" s="3" t="str">
        <f t="shared" si="18"/>
        <v>2025-06</v>
      </c>
      <c r="H638" s="26">
        <f t="shared" si="19"/>
        <v>0.9555555555555556</v>
      </c>
    </row>
    <row r="639" spans="1:8" ht="17.399999999999999">
      <c r="A639" s="25">
        <v>45817</v>
      </c>
      <c r="B639" s="3" t="s">
        <v>8</v>
      </c>
      <c r="C639" s="3" t="s">
        <v>641</v>
      </c>
      <c r="D639" s="3">
        <v>50</v>
      </c>
      <c r="E639" s="3">
        <v>50</v>
      </c>
      <c r="F639" s="3">
        <v>0</v>
      </c>
      <c r="G639" s="3" t="str">
        <f t="shared" si="18"/>
        <v>2025-06</v>
      </c>
      <c r="H639" s="26">
        <f t="shared" si="19"/>
        <v>1</v>
      </c>
    </row>
    <row r="640" spans="1:8" ht="17.399999999999999">
      <c r="A640" s="25">
        <v>45817</v>
      </c>
      <c r="B640" s="3" t="s">
        <v>10</v>
      </c>
      <c r="C640" s="3" t="s">
        <v>642</v>
      </c>
      <c r="D640" s="3">
        <v>66</v>
      </c>
      <c r="E640" s="3">
        <v>63</v>
      </c>
      <c r="F640" s="3">
        <v>3</v>
      </c>
      <c r="G640" s="3" t="str">
        <f t="shared" si="18"/>
        <v>2025-06</v>
      </c>
      <c r="H640" s="26">
        <f t="shared" si="19"/>
        <v>0.95454545454545459</v>
      </c>
    </row>
    <row r="641" spans="1:8" ht="17.399999999999999">
      <c r="A641" s="25">
        <v>45817</v>
      </c>
      <c r="B641" s="3" t="s">
        <v>12</v>
      </c>
      <c r="C641" s="3" t="s">
        <v>643</v>
      </c>
      <c r="D641" s="3">
        <v>79</v>
      </c>
      <c r="E641" s="3">
        <v>72</v>
      </c>
      <c r="F641" s="3">
        <v>7</v>
      </c>
      <c r="G641" s="3" t="str">
        <f t="shared" si="18"/>
        <v>2025-06</v>
      </c>
      <c r="H641" s="26">
        <f t="shared" si="19"/>
        <v>0.91139240506329111</v>
      </c>
    </row>
    <row r="642" spans="1:8" ht="17.399999999999999">
      <c r="A642" s="25">
        <v>45818</v>
      </c>
      <c r="B642" s="3" t="s">
        <v>6</v>
      </c>
      <c r="C642" s="3" t="s">
        <v>644</v>
      </c>
      <c r="D642" s="3">
        <v>98</v>
      </c>
      <c r="E642" s="3">
        <v>96</v>
      </c>
      <c r="F642" s="3">
        <v>2</v>
      </c>
      <c r="G642" s="3" t="str">
        <f t="shared" si="18"/>
        <v>2025-06</v>
      </c>
      <c r="H642" s="26">
        <f t="shared" si="19"/>
        <v>0.97959183673469385</v>
      </c>
    </row>
    <row r="643" spans="1:8" ht="17.399999999999999">
      <c r="A643" s="25">
        <v>45818</v>
      </c>
      <c r="B643" s="3" t="s">
        <v>8</v>
      </c>
      <c r="C643" s="3" t="s">
        <v>645</v>
      </c>
      <c r="D643" s="3">
        <v>28</v>
      </c>
      <c r="E643" s="3">
        <v>23</v>
      </c>
      <c r="F643" s="3">
        <v>5</v>
      </c>
      <c r="G643" s="3" t="str">
        <f t="shared" ref="G643:G706" si="20">TEXT(A643,"yyyy-mm")</f>
        <v>2025-06</v>
      </c>
      <c r="H643" s="26">
        <f t="shared" ref="H643:H706" si="21">E643/D643</f>
        <v>0.8214285714285714</v>
      </c>
    </row>
    <row r="644" spans="1:8" ht="17.399999999999999">
      <c r="A644" s="25">
        <v>45818</v>
      </c>
      <c r="B644" s="3" t="s">
        <v>10</v>
      </c>
      <c r="C644" s="3" t="s">
        <v>646</v>
      </c>
      <c r="D644" s="3">
        <v>81</v>
      </c>
      <c r="E644" s="3">
        <v>72</v>
      </c>
      <c r="F644" s="3">
        <v>9</v>
      </c>
      <c r="G644" s="3" t="str">
        <f t="shared" si="20"/>
        <v>2025-06</v>
      </c>
      <c r="H644" s="26">
        <f t="shared" si="21"/>
        <v>0.88888888888888884</v>
      </c>
    </row>
    <row r="645" spans="1:8" ht="17.399999999999999">
      <c r="A645" s="25">
        <v>45818</v>
      </c>
      <c r="B645" s="3" t="s">
        <v>12</v>
      </c>
      <c r="C645" s="3" t="s">
        <v>647</v>
      </c>
      <c r="D645" s="3">
        <v>72</v>
      </c>
      <c r="E645" s="3">
        <v>68</v>
      </c>
      <c r="F645" s="3">
        <v>4</v>
      </c>
      <c r="G645" s="3" t="str">
        <f t="shared" si="20"/>
        <v>2025-06</v>
      </c>
      <c r="H645" s="26">
        <f t="shared" si="21"/>
        <v>0.94444444444444442</v>
      </c>
    </row>
    <row r="646" spans="1:8" ht="17.399999999999999">
      <c r="A646" s="25">
        <v>45819</v>
      </c>
      <c r="B646" s="3" t="s">
        <v>6</v>
      </c>
      <c r="C646" s="3" t="s">
        <v>648</v>
      </c>
      <c r="D646" s="3">
        <v>36</v>
      </c>
      <c r="E646" s="3">
        <v>30</v>
      </c>
      <c r="F646" s="3">
        <v>6</v>
      </c>
      <c r="G646" s="3" t="str">
        <f t="shared" si="20"/>
        <v>2025-06</v>
      </c>
      <c r="H646" s="26">
        <f t="shared" si="21"/>
        <v>0.83333333333333337</v>
      </c>
    </row>
    <row r="647" spans="1:8" ht="17.399999999999999">
      <c r="A647" s="25">
        <v>45819</v>
      </c>
      <c r="B647" s="3" t="s">
        <v>8</v>
      </c>
      <c r="C647" s="3" t="s">
        <v>649</v>
      </c>
      <c r="D647" s="3">
        <v>77</v>
      </c>
      <c r="E647" s="3">
        <v>67</v>
      </c>
      <c r="F647" s="3">
        <v>10</v>
      </c>
      <c r="G647" s="3" t="str">
        <f t="shared" si="20"/>
        <v>2025-06</v>
      </c>
      <c r="H647" s="26">
        <f t="shared" si="21"/>
        <v>0.87012987012987009</v>
      </c>
    </row>
    <row r="648" spans="1:8" ht="17.399999999999999">
      <c r="A648" s="25">
        <v>45819</v>
      </c>
      <c r="B648" s="3" t="s">
        <v>10</v>
      </c>
      <c r="C648" s="3" t="s">
        <v>650</v>
      </c>
      <c r="D648" s="3">
        <v>64</v>
      </c>
      <c r="E648" s="3">
        <v>48</v>
      </c>
      <c r="F648" s="3">
        <v>16</v>
      </c>
      <c r="G648" s="3" t="str">
        <f t="shared" si="20"/>
        <v>2025-06</v>
      </c>
      <c r="H648" s="26">
        <f t="shared" si="21"/>
        <v>0.75</v>
      </c>
    </row>
    <row r="649" spans="1:8" ht="17.399999999999999">
      <c r="A649" s="25">
        <v>45819</v>
      </c>
      <c r="B649" s="3" t="s">
        <v>12</v>
      </c>
      <c r="C649" s="3" t="s">
        <v>651</v>
      </c>
      <c r="D649" s="3">
        <v>36</v>
      </c>
      <c r="E649" s="3">
        <v>31</v>
      </c>
      <c r="F649" s="3">
        <v>5</v>
      </c>
      <c r="G649" s="3" t="str">
        <f t="shared" si="20"/>
        <v>2025-06</v>
      </c>
      <c r="H649" s="26">
        <f t="shared" si="21"/>
        <v>0.86111111111111116</v>
      </c>
    </row>
    <row r="650" spans="1:8" ht="17.399999999999999">
      <c r="A650" s="25">
        <v>45820</v>
      </c>
      <c r="B650" s="3" t="s">
        <v>6</v>
      </c>
      <c r="C650" s="3" t="s">
        <v>652</v>
      </c>
      <c r="D650" s="3">
        <v>27</v>
      </c>
      <c r="E650" s="3">
        <v>19</v>
      </c>
      <c r="F650" s="3">
        <v>8</v>
      </c>
      <c r="G650" s="3" t="str">
        <f t="shared" si="20"/>
        <v>2025-06</v>
      </c>
      <c r="H650" s="26">
        <f t="shared" si="21"/>
        <v>0.70370370370370372</v>
      </c>
    </row>
    <row r="651" spans="1:8" ht="17.399999999999999">
      <c r="A651" s="25">
        <v>45820</v>
      </c>
      <c r="B651" s="3" t="s">
        <v>8</v>
      </c>
      <c r="C651" s="3" t="s">
        <v>653</v>
      </c>
      <c r="D651" s="3">
        <v>39</v>
      </c>
      <c r="E651" s="3">
        <v>31</v>
      </c>
      <c r="F651" s="3">
        <v>8</v>
      </c>
      <c r="G651" s="3" t="str">
        <f t="shared" si="20"/>
        <v>2025-06</v>
      </c>
      <c r="H651" s="26">
        <f t="shared" si="21"/>
        <v>0.79487179487179482</v>
      </c>
    </row>
    <row r="652" spans="1:8" ht="17.399999999999999">
      <c r="A652" s="25">
        <v>45820</v>
      </c>
      <c r="B652" s="3" t="s">
        <v>10</v>
      </c>
      <c r="C652" s="3" t="s">
        <v>654</v>
      </c>
      <c r="D652" s="3">
        <v>40</v>
      </c>
      <c r="E652" s="3">
        <v>33</v>
      </c>
      <c r="F652" s="3">
        <v>7</v>
      </c>
      <c r="G652" s="3" t="str">
        <f t="shared" si="20"/>
        <v>2025-06</v>
      </c>
      <c r="H652" s="26">
        <f t="shared" si="21"/>
        <v>0.82499999999999996</v>
      </c>
    </row>
    <row r="653" spans="1:8" ht="17.399999999999999">
      <c r="A653" s="25">
        <v>45820</v>
      </c>
      <c r="B653" s="3" t="s">
        <v>12</v>
      </c>
      <c r="C653" s="3" t="s">
        <v>655</v>
      </c>
      <c r="D653" s="3">
        <v>64</v>
      </c>
      <c r="E653" s="3">
        <v>60</v>
      </c>
      <c r="F653" s="3">
        <v>4</v>
      </c>
      <c r="G653" s="3" t="str">
        <f t="shared" si="20"/>
        <v>2025-06</v>
      </c>
      <c r="H653" s="26">
        <f t="shared" si="21"/>
        <v>0.9375</v>
      </c>
    </row>
    <row r="654" spans="1:8" ht="17.399999999999999">
      <c r="A654" s="25">
        <v>45821</v>
      </c>
      <c r="B654" s="3" t="s">
        <v>6</v>
      </c>
      <c r="C654" s="3" t="s">
        <v>656</v>
      </c>
      <c r="D654" s="3">
        <v>30</v>
      </c>
      <c r="E654" s="3">
        <v>25</v>
      </c>
      <c r="F654" s="3">
        <v>5</v>
      </c>
      <c r="G654" s="3" t="str">
        <f t="shared" si="20"/>
        <v>2025-06</v>
      </c>
      <c r="H654" s="26">
        <f t="shared" si="21"/>
        <v>0.83333333333333337</v>
      </c>
    </row>
    <row r="655" spans="1:8" ht="17.399999999999999">
      <c r="A655" s="25">
        <v>45821</v>
      </c>
      <c r="B655" s="3" t="s">
        <v>8</v>
      </c>
      <c r="C655" s="3" t="s">
        <v>657</v>
      </c>
      <c r="D655" s="3">
        <v>90</v>
      </c>
      <c r="E655" s="3">
        <v>70</v>
      </c>
      <c r="F655" s="3">
        <v>20</v>
      </c>
      <c r="G655" s="3" t="str">
        <f t="shared" si="20"/>
        <v>2025-06</v>
      </c>
      <c r="H655" s="26">
        <f t="shared" si="21"/>
        <v>0.77777777777777779</v>
      </c>
    </row>
    <row r="656" spans="1:8" ht="17.399999999999999">
      <c r="A656" s="25">
        <v>45821</v>
      </c>
      <c r="B656" s="3" t="s">
        <v>10</v>
      </c>
      <c r="C656" s="3" t="s">
        <v>658</v>
      </c>
      <c r="D656" s="3">
        <v>100</v>
      </c>
      <c r="E656" s="3">
        <v>79</v>
      </c>
      <c r="F656" s="3">
        <v>21</v>
      </c>
      <c r="G656" s="3" t="str">
        <f t="shared" si="20"/>
        <v>2025-06</v>
      </c>
      <c r="H656" s="26">
        <f t="shared" si="21"/>
        <v>0.79</v>
      </c>
    </row>
    <row r="657" spans="1:8" ht="17.399999999999999">
      <c r="A657" s="25">
        <v>45821</v>
      </c>
      <c r="B657" s="3" t="s">
        <v>12</v>
      </c>
      <c r="C657" s="3" t="s">
        <v>659</v>
      </c>
      <c r="D657" s="3">
        <v>31</v>
      </c>
      <c r="E657" s="3">
        <v>29</v>
      </c>
      <c r="F657" s="3">
        <v>2</v>
      </c>
      <c r="G657" s="3" t="str">
        <f t="shared" si="20"/>
        <v>2025-06</v>
      </c>
      <c r="H657" s="26">
        <f t="shared" si="21"/>
        <v>0.93548387096774188</v>
      </c>
    </row>
    <row r="658" spans="1:8" ht="17.399999999999999">
      <c r="A658" s="25">
        <v>45822</v>
      </c>
      <c r="B658" s="3" t="s">
        <v>6</v>
      </c>
      <c r="C658" s="3" t="s">
        <v>660</v>
      </c>
      <c r="D658" s="3">
        <v>95</v>
      </c>
      <c r="E658" s="3">
        <v>84</v>
      </c>
      <c r="F658" s="3">
        <v>11</v>
      </c>
      <c r="G658" s="3" t="str">
        <f t="shared" si="20"/>
        <v>2025-06</v>
      </c>
      <c r="H658" s="26">
        <f t="shared" si="21"/>
        <v>0.88421052631578945</v>
      </c>
    </row>
    <row r="659" spans="1:8" ht="17.399999999999999">
      <c r="A659" s="25">
        <v>45822</v>
      </c>
      <c r="B659" s="3" t="s">
        <v>8</v>
      </c>
      <c r="C659" s="3" t="s">
        <v>661</v>
      </c>
      <c r="D659" s="3">
        <v>41</v>
      </c>
      <c r="E659" s="3">
        <v>38</v>
      </c>
      <c r="F659" s="3">
        <v>3</v>
      </c>
      <c r="G659" s="3" t="str">
        <f t="shared" si="20"/>
        <v>2025-06</v>
      </c>
      <c r="H659" s="26">
        <f t="shared" si="21"/>
        <v>0.92682926829268297</v>
      </c>
    </row>
    <row r="660" spans="1:8" ht="17.399999999999999">
      <c r="A660" s="25">
        <v>45822</v>
      </c>
      <c r="B660" s="3" t="s">
        <v>10</v>
      </c>
      <c r="C660" s="3" t="s">
        <v>662</v>
      </c>
      <c r="D660" s="3">
        <v>92</v>
      </c>
      <c r="E660" s="3">
        <v>65</v>
      </c>
      <c r="F660" s="3">
        <v>27</v>
      </c>
      <c r="G660" s="3" t="str">
        <f t="shared" si="20"/>
        <v>2025-06</v>
      </c>
      <c r="H660" s="26">
        <f t="shared" si="21"/>
        <v>0.70652173913043481</v>
      </c>
    </row>
    <row r="661" spans="1:8" ht="17.399999999999999">
      <c r="A661" s="25">
        <v>45822</v>
      </c>
      <c r="B661" s="3" t="s">
        <v>12</v>
      </c>
      <c r="C661" s="3" t="s">
        <v>663</v>
      </c>
      <c r="D661" s="3">
        <v>30</v>
      </c>
      <c r="E661" s="3">
        <v>21</v>
      </c>
      <c r="F661" s="3">
        <v>9</v>
      </c>
      <c r="G661" s="3" t="str">
        <f t="shared" si="20"/>
        <v>2025-06</v>
      </c>
      <c r="H661" s="26">
        <f t="shared" si="21"/>
        <v>0.7</v>
      </c>
    </row>
    <row r="662" spans="1:8" ht="17.399999999999999">
      <c r="A662" s="25">
        <v>45823</v>
      </c>
      <c r="B662" s="3" t="s">
        <v>6</v>
      </c>
      <c r="C662" s="3" t="s">
        <v>664</v>
      </c>
      <c r="D662" s="3">
        <v>46</v>
      </c>
      <c r="E662" s="3">
        <v>44</v>
      </c>
      <c r="F662" s="3">
        <v>2</v>
      </c>
      <c r="G662" s="3" t="str">
        <f t="shared" si="20"/>
        <v>2025-06</v>
      </c>
      <c r="H662" s="26">
        <f t="shared" si="21"/>
        <v>0.95652173913043481</v>
      </c>
    </row>
    <row r="663" spans="1:8" ht="17.399999999999999">
      <c r="A663" s="25">
        <v>45823</v>
      </c>
      <c r="B663" s="3" t="s">
        <v>8</v>
      </c>
      <c r="C663" s="3" t="s">
        <v>665</v>
      </c>
      <c r="D663" s="3">
        <v>99</v>
      </c>
      <c r="E663" s="3">
        <v>89</v>
      </c>
      <c r="F663" s="3">
        <v>10</v>
      </c>
      <c r="G663" s="3" t="str">
        <f t="shared" si="20"/>
        <v>2025-06</v>
      </c>
      <c r="H663" s="26">
        <f t="shared" si="21"/>
        <v>0.89898989898989901</v>
      </c>
    </row>
    <row r="664" spans="1:8" ht="17.399999999999999">
      <c r="A664" s="25">
        <v>45823</v>
      </c>
      <c r="B664" s="3" t="s">
        <v>10</v>
      </c>
      <c r="C664" s="3" t="s">
        <v>666</v>
      </c>
      <c r="D664" s="3">
        <v>83</v>
      </c>
      <c r="E664" s="3">
        <v>78</v>
      </c>
      <c r="F664" s="3">
        <v>5</v>
      </c>
      <c r="G664" s="3" t="str">
        <f t="shared" si="20"/>
        <v>2025-06</v>
      </c>
      <c r="H664" s="26">
        <f t="shared" si="21"/>
        <v>0.93975903614457834</v>
      </c>
    </row>
    <row r="665" spans="1:8" ht="17.399999999999999">
      <c r="A665" s="25">
        <v>45823</v>
      </c>
      <c r="B665" s="3" t="s">
        <v>12</v>
      </c>
      <c r="C665" s="3" t="s">
        <v>667</v>
      </c>
      <c r="D665" s="3">
        <v>57</v>
      </c>
      <c r="E665" s="3">
        <v>48</v>
      </c>
      <c r="F665" s="3">
        <v>9</v>
      </c>
      <c r="G665" s="3" t="str">
        <f t="shared" si="20"/>
        <v>2025-06</v>
      </c>
      <c r="H665" s="26">
        <f t="shared" si="21"/>
        <v>0.84210526315789469</v>
      </c>
    </row>
    <row r="666" spans="1:8" ht="17.399999999999999">
      <c r="A666" s="25">
        <v>45824</v>
      </c>
      <c r="B666" s="3" t="s">
        <v>6</v>
      </c>
      <c r="C666" s="3" t="s">
        <v>668</v>
      </c>
      <c r="D666" s="3">
        <v>51</v>
      </c>
      <c r="E666" s="3">
        <v>47</v>
      </c>
      <c r="F666" s="3">
        <v>4</v>
      </c>
      <c r="G666" s="3" t="str">
        <f t="shared" si="20"/>
        <v>2025-06</v>
      </c>
      <c r="H666" s="26">
        <f t="shared" si="21"/>
        <v>0.92156862745098034</v>
      </c>
    </row>
    <row r="667" spans="1:8" ht="17.399999999999999">
      <c r="A667" s="25">
        <v>45824</v>
      </c>
      <c r="B667" s="3" t="s">
        <v>8</v>
      </c>
      <c r="C667" s="3" t="s">
        <v>669</v>
      </c>
      <c r="D667" s="3">
        <v>78</v>
      </c>
      <c r="E667" s="3">
        <v>56</v>
      </c>
      <c r="F667" s="3">
        <v>22</v>
      </c>
      <c r="G667" s="3" t="str">
        <f t="shared" si="20"/>
        <v>2025-06</v>
      </c>
      <c r="H667" s="26">
        <f t="shared" si="21"/>
        <v>0.71794871794871795</v>
      </c>
    </row>
    <row r="668" spans="1:8" ht="17.399999999999999">
      <c r="A668" s="25">
        <v>45824</v>
      </c>
      <c r="B668" s="3" t="s">
        <v>10</v>
      </c>
      <c r="C668" s="3" t="s">
        <v>670</v>
      </c>
      <c r="D668" s="3">
        <v>40</v>
      </c>
      <c r="E668" s="3">
        <v>35</v>
      </c>
      <c r="F668" s="3">
        <v>5</v>
      </c>
      <c r="G668" s="3" t="str">
        <f t="shared" si="20"/>
        <v>2025-06</v>
      </c>
      <c r="H668" s="26">
        <f t="shared" si="21"/>
        <v>0.875</v>
      </c>
    </row>
    <row r="669" spans="1:8" ht="17.399999999999999">
      <c r="A669" s="25">
        <v>45824</v>
      </c>
      <c r="B669" s="3" t="s">
        <v>12</v>
      </c>
      <c r="C669" s="3" t="s">
        <v>671</v>
      </c>
      <c r="D669" s="3">
        <v>81</v>
      </c>
      <c r="E669" s="3">
        <v>70</v>
      </c>
      <c r="F669" s="3">
        <v>11</v>
      </c>
      <c r="G669" s="3" t="str">
        <f t="shared" si="20"/>
        <v>2025-06</v>
      </c>
      <c r="H669" s="26">
        <f t="shared" si="21"/>
        <v>0.86419753086419748</v>
      </c>
    </row>
    <row r="670" spans="1:8" ht="17.399999999999999">
      <c r="A670" s="25">
        <v>45825</v>
      </c>
      <c r="B670" s="3" t="s">
        <v>6</v>
      </c>
      <c r="C670" s="3" t="s">
        <v>672</v>
      </c>
      <c r="D670" s="3">
        <v>63</v>
      </c>
      <c r="E670" s="3">
        <v>63</v>
      </c>
      <c r="F670" s="3">
        <v>0</v>
      </c>
      <c r="G670" s="3" t="str">
        <f t="shared" si="20"/>
        <v>2025-06</v>
      </c>
      <c r="H670" s="26">
        <f t="shared" si="21"/>
        <v>1</v>
      </c>
    </row>
    <row r="671" spans="1:8" ht="17.399999999999999">
      <c r="A671" s="25">
        <v>45825</v>
      </c>
      <c r="B671" s="3" t="s">
        <v>8</v>
      </c>
      <c r="C671" s="3" t="s">
        <v>673</v>
      </c>
      <c r="D671" s="3">
        <v>60</v>
      </c>
      <c r="E671" s="3">
        <v>52</v>
      </c>
      <c r="F671" s="3">
        <v>8</v>
      </c>
      <c r="G671" s="3" t="str">
        <f t="shared" si="20"/>
        <v>2025-06</v>
      </c>
      <c r="H671" s="26">
        <f t="shared" si="21"/>
        <v>0.8666666666666667</v>
      </c>
    </row>
    <row r="672" spans="1:8" ht="17.399999999999999">
      <c r="A672" s="25">
        <v>45825</v>
      </c>
      <c r="B672" s="3" t="s">
        <v>10</v>
      </c>
      <c r="C672" s="3" t="s">
        <v>674</v>
      </c>
      <c r="D672" s="3">
        <v>71</v>
      </c>
      <c r="E672" s="3">
        <v>53</v>
      </c>
      <c r="F672" s="3">
        <v>18</v>
      </c>
      <c r="G672" s="3" t="str">
        <f t="shared" si="20"/>
        <v>2025-06</v>
      </c>
      <c r="H672" s="26">
        <f t="shared" si="21"/>
        <v>0.74647887323943662</v>
      </c>
    </row>
    <row r="673" spans="1:8" ht="17.399999999999999">
      <c r="A673" s="25">
        <v>45825</v>
      </c>
      <c r="B673" s="3" t="s">
        <v>12</v>
      </c>
      <c r="C673" s="3" t="s">
        <v>675</v>
      </c>
      <c r="D673" s="3">
        <v>85</v>
      </c>
      <c r="E673" s="3">
        <v>76</v>
      </c>
      <c r="F673" s="3">
        <v>9</v>
      </c>
      <c r="G673" s="3" t="str">
        <f t="shared" si="20"/>
        <v>2025-06</v>
      </c>
      <c r="H673" s="26">
        <f t="shared" si="21"/>
        <v>0.89411764705882357</v>
      </c>
    </row>
    <row r="674" spans="1:8" ht="17.399999999999999">
      <c r="A674" s="25">
        <v>45826</v>
      </c>
      <c r="B674" s="3" t="s">
        <v>6</v>
      </c>
      <c r="C674" s="3" t="s">
        <v>676</v>
      </c>
      <c r="D674" s="3">
        <v>60</v>
      </c>
      <c r="E674" s="3">
        <v>49</v>
      </c>
      <c r="F674" s="3">
        <v>11</v>
      </c>
      <c r="G674" s="3" t="str">
        <f t="shared" si="20"/>
        <v>2025-06</v>
      </c>
      <c r="H674" s="26">
        <f t="shared" si="21"/>
        <v>0.81666666666666665</v>
      </c>
    </row>
    <row r="675" spans="1:8" ht="17.399999999999999">
      <c r="A675" s="25">
        <v>45826</v>
      </c>
      <c r="B675" s="3" t="s">
        <v>8</v>
      </c>
      <c r="C675" s="3" t="s">
        <v>677</v>
      </c>
      <c r="D675" s="3">
        <v>35</v>
      </c>
      <c r="E675" s="3">
        <v>28</v>
      </c>
      <c r="F675" s="3">
        <v>7</v>
      </c>
      <c r="G675" s="3" t="str">
        <f t="shared" si="20"/>
        <v>2025-06</v>
      </c>
      <c r="H675" s="26">
        <f t="shared" si="21"/>
        <v>0.8</v>
      </c>
    </row>
    <row r="676" spans="1:8" ht="17.399999999999999">
      <c r="A676" s="25">
        <v>45826</v>
      </c>
      <c r="B676" s="3" t="s">
        <v>10</v>
      </c>
      <c r="C676" s="3" t="s">
        <v>678</v>
      </c>
      <c r="D676" s="3">
        <v>51</v>
      </c>
      <c r="E676" s="3">
        <v>39</v>
      </c>
      <c r="F676" s="3">
        <v>12</v>
      </c>
      <c r="G676" s="3" t="str">
        <f t="shared" si="20"/>
        <v>2025-06</v>
      </c>
      <c r="H676" s="26">
        <f t="shared" si="21"/>
        <v>0.76470588235294112</v>
      </c>
    </row>
    <row r="677" spans="1:8" ht="17.399999999999999">
      <c r="A677" s="25">
        <v>45826</v>
      </c>
      <c r="B677" s="3" t="s">
        <v>12</v>
      </c>
      <c r="C677" s="3" t="s">
        <v>679</v>
      </c>
      <c r="D677" s="3">
        <v>26</v>
      </c>
      <c r="E677" s="3">
        <v>22</v>
      </c>
      <c r="F677" s="3">
        <v>4</v>
      </c>
      <c r="G677" s="3" t="str">
        <f t="shared" si="20"/>
        <v>2025-06</v>
      </c>
      <c r="H677" s="26">
        <f t="shared" si="21"/>
        <v>0.84615384615384615</v>
      </c>
    </row>
    <row r="678" spans="1:8" ht="17.399999999999999">
      <c r="A678" s="25">
        <v>45827</v>
      </c>
      <c r="B678" s="3" t="s">
        <v>6</v>
      </c>
      <c r="C678" s="3" t="s">
        <v>680</v>
      </c>
      <c r="D678" s="3">
        <v>98</v>
      </c>
      <c r="E678" s="3">
        <v>81</v>
      </c>
      <c r="F678" s="3">
        <v>17</v>
      </c>
      <c r="G678" s="3" t="str">
        <f t="shared" si="20"/>
        <v>2025-06</v>
      </c>
      <c r="H678" s="26">
        <f t="shared" si="21"/>
        <v>0.82653061224489799</v>
      </c>
    </row>
    <row r="679" spans="1:8" ht="17.399999999999999">
      <c r="A679" s="25">
        <v>45827</v>
      </c>
      <c r="B679" s="3" t="s">
        <v>8</v>
      </c>
      <c r="C679" s="3" t="s">
        <v>681</v>
      </c>
      <c r="D679" s="3">
        <v>40</v>
      </c>
      <c r="E679" s="3">
        <v>33</v>
      </c>
      <c r="F679" s="3">
        <v>7</v>
      </c>
      <c r="G679" s="3" t="str">
        <f t="shared" si="20"/>
        <v>2025-06</v>
      </c>
      <c r="H679" s="26">
        <f t="shared" si="21"/>
        <v>0.82499999999999996</v>
      </c>
    </row>
    <row r="680" spans="1:8" ht="17.399999999999999">
      <c r="A680" s="25">
        <v>45827</v>
      </c>
      <c r="B680" s="3" t="s">
        <v>10</v>
      </c>
      <c r="C680" s="3" t="s">
        <v>682</v>
      </c>
      <c r="D680" s="3">
        <v>44</v>
      </c>
      <c r="E680" s="3">
        <v>42</v>
      </c>
      <c r="F680" s="3">
        <v>2</v>
      </c>
      <c r="G680" s="3" t="str">
        <f t="shared" si="20"/>
        <v>2025-06</v>
      </c>
      <c r="H680" s="26">
        <f t="shared" si="21"/>
        <v>0.95454545454545459</v>
      </c>
    </row>
    <row r="681" spans="1:8" ht="17.399999999999999">
      <c r="A681" s="25">
        <v>45827</v>
      </c>
      <c r="B681" s="3" t="s">
        <v>12</v>
      </c>
      <c r="C681" s="3" t="s">
        <v>683</v>
      </c>
      <c r="D681" s="3">
        <v>83</v>
      </c>
      <c r="E681" s="3">
        <v>74</v>
      </c>
      <c r="F681" s="3">
        <v>9</v>
      </c>
      <c r="G681" s="3" t="str">
        <f t="shared" si="20"/>
        <v>2025-06</v>
      </c>
      <c r="H681" s="26">
        <f t="shared" si="21"/>
        <v>0.89156626506024095</v>
      </c>
    </row>
    <row r="682" spans="1:8" ht="17.399999999999999">
      <c r="A682" s="25">
        <v>45828</v>
      </c>
      <c r="B682" s="3" t="s">
        <v>6</v>
      </c>
      <c r="C682" s="3" t="s">
        <v>684</v>
      </c>
      <c r="D682" s="3">
        <v>83</v>
      </c>
      <c r="E682" s="3">
        <v>67</v>
      </c>
      <c r="F682" s="3">
        <v>16</v>
      </c>
      <c r="G682" s="3" t="str">
        <f t="shared" si="20"/>
        <v>2025-06</v>
      </c>
      <c r="H682" s="26">
        <f t="shared" si="21"/>
        <v>0.80722891566265065</v>
      </c>
    </row>
    <row r="683" spans="1:8" ht="17.399999999999999">
      <c r="A683" s="25">
        <v>45828</v>
      </c>
      <c r="B683" s="3" t="s">
        <v>8</v>
      </c>
      <c r="C683" s="3" t="s">
        <v>685</v>
      </c>
      <c r="D683" s="3">
        <v>22</v>
      </c>
      <c r="E683" s="3">
        <v>16</v>
      </c>
      <c r="F683" s="3">
        <v>6</v>
      </c>
      <c r="G683" s="3" t="str">
        <f t="shared" si="20"/>
        <v>2025-06</v>
      </c>
      <c r="H683" s="26">
        <f t="shared" si="21"/>
        <v>0.72727272727272729</v>
      </c>
    </row>
    <row r="684" spans="1:8" ht="17.399999999999999">
      <c r="A684" s="25">
        <v>45828</v>
      </c>
      <c r="B684" s="3" t="s">
        <v>10</v>
      </c>
      <c r="C684" s="3" t="s">
        <v>686</v>
      </c>
      <c r="D684" s="3">
        <v>84</v>
      </c>
      <c r="E684" s="3">
        <v>72</v>
      </c>
      <c r="F684" s="3">
        <v>12</v>
      </c>
      <c r="G684" s="3" t="str">
        <f t="shared" si="20"/>
        <v>2025-06</v>
      </c>
      <c r="H684" s="26">
        <f t="shared" si="21"/>
        <v>0.8571428571428571</v>
      </c>
    </row>
    <row r="685" spans="1:8" ht="17.399999999999999">
      <c r="A685" s="25">
        <v>45828</v>
      </c>
      <c r="B685" s="3" t="s">
        <v>12</v>
      </c>
      <c r="C685" s="3" t="s">
        <v>687</v>
      </c>
      <c r="D685" s="3">
        <v>47</v>
      </c>
      <c r="E685" s="3">
        <v>43</v>
      </c>
      <c r="F685" s="3">
        <v>4</v>
      </c>
      <c r="G685" s="3" t="str">
        <f t="shared" si="20"/>
        <v>2025-06</v>
      </c>
      <c r="H685" s="26">
        <f t="shared" si="21"/>
        <v>0.91489361702127658</v>
      </c>
    </row>
    <row r="686" spans="1:8" ht="17.399999999999999">
      <c r="A686" s="25">
        <v>45829</v>
      </c>
      <c r="B686" s="3" t="s">
        <v>6</v>
      </c>
      <c r="C686" s="3" t="s">
        <v>688</v>
      </c>
      <c r="D686" s="3">
        <v>26</v>
      </c>
      <c r="E686" s="3">
        <v>22</v>
      </c>
      <c r="F686" s="3">
        <v>4</v>
      </c>
      <c r="G686" s="3" t="str">
        <f t="shared" si="20"/>
        <v>2025-06</v>
      </c>
      <c r="H686" s="26">
        <f t="shared" si="21"/>
        <v>0.84615384615384615</v>
      </c>
    </row>
    <row r="687" spans="1:8" ht="17.399999999999999">
      <c r="A687" s="25">
        <v>45829</v>
      </c>
      <c r="B687" s="3" t="s">
        <v>8</v>
      </c>
      <c r="C687" s="3" t="s">
        <v>689</v>
      </c>
      <c r="D687" s="3">
        <v>96</v>
      </c>
      <c r="E687" s="3">
        <v>95</v>
      </c>
      <c r="F687" s="3">
        <v>1</v>
      </c>
      <c r="G687" s="3" t="str">
        <f t="shared" si="20"/>
        <v>2025-06</v>
      </c>
      <c r="H687" s="26">
        <f t="shared" si="21"/>
        <v>0.98958333333333337</v>
      </c>
    </row>
    <row r="688" spans="1:8" ht="17.399999999999999">
      <c r="A688" s="25">
        <v>45829</v>
      </c>
      <c r="B688" s="3" t="s">
        <v>10</v>
      </c>
      <c r="C688" s="3" t="s">
        <v>690</v>
      </c>
      <c r="D688" s="3">
        <v>56</v>
      </c>
      <c r="E688" s="3">
        <v>56</v>
      </c>
      <c r="F688" s="3">
        <v>0</v>
      </c>
      <c r="G688" s="3" t="str">
        <f t="shared" si="20"/>
        <v>2025-06</v>
      </c>
      <c r="H688" s="26">
        <f t="shared" si="21"/>
        <v>1</v>
      </c>
    </row>
    <row r="689" spans="1:8" ht="17.399999999999999">
      <c r="A689" s="25">
        <v>45829</v>
      </c>
      <c r="B689" s="3" t="s">
        <v>12</v>
      </c>
      <c r="C689" s="3" t="s">
        <v>691</v>
      </c>
      <c r="D689" s="3">
        <v>33</v>
      </c>
      <c r="E689" s="3">
        <v>29</v>
      </c>
      <c r="F689" s="3">
        <v>4</v>
      </c>
      <c r="G689" s="3" t="str">
        <f t="shared" si="20"/>
        <v>2025-06</v>
      </c>
      <c r="H689" s="26">
        <f t="shared" si="21"/>
        <v>0.87878787878787878</v>
      </c>
    </row>
    <row r="690" spans="1:8" ht="17.399999999999999">
      <c r="A690" s="25">
        <v>45830</v>
      </c>
      <c r="B690" s="3" t="s">
        <v>6</v>
      </c>
      <c r="C690" s="3" t="s">
        <v>692</v>
      </c>
      <c r="D690" s="3">
        <v>53</v>
      </c>
      <c r="E690" s="3">
        <v>48</v>
      </c>
      <c r="F690" s="3">
        <v>5</v>
      </c>
      <c r="G690" s="3" t="str">
        <f t="shared" si="20"/>
        <v>2025-06</v>
      </c>
      <c r="H690" s="26">
        <f t="shared" si="21"/>
        <v>0.90566037735849059</v>
      </c>
    </row>
    <row r="691" spans="1:8" ht="17.399999999999999">
      <c r="A691" s="25">
        <v>45830</v>
      </c>
      <c r="B691" s="3" t="s">
        <v>8</v>
      </c>
      <c r="C691" s="3" t="s">
        <v>693</v>
      </c>
      <c r="D691" s="3">
        <v>66</v>
      </c>
      <c r="E691" s="3">
        <v>47</v>
      </c>
      <c r="F691" s="3">
        <v>19</v>
      </c>
      <c r="G691" s="3" t="str">
        <f t="shared" si="20"/>
        <v>2025-06</v>
      </c>
      <c r="H691" s="26">
        <f t="shared" si="21"/>
        <v>0.71212121212121215</v>
      </c>
    </row>
    <row r="692" spans="1:8" ht="17.399999999999999">
      <c r="A692" s="25">
        <v>45830</v>
      </c>
      <c r="B692" s="3" t="s">
        <v>10</v>
      </c>
      <c r="C692" s="3" t="s">
        <v>694</v>
      </c>
      <c r="D692" s="3">
        <v>26</v>
      </c>
      <c r="E692" s="3">
        <v>26</v>
      </c>
      <c r="F692" s="3">
        <v>0</v>
      </c>
      <c r="G692" s="3" t="str">
        <f t="shared" si="20"/>
        <v>2025-06</v>
      </c>
      <c r="H692" s="26">
        <f t="shared" si="21"/>
        <v>1</v>
      </c>
    </row>
    <row r="693" spans="1:8" ht="17.399999999999999">
      <c r="A693" s="25">
        <v>45830</v>
      </c>
      <c r="B693" s="3" t="s">
        <v>12</v>
      </c>
      <c r="C693" s="3" t="s">
        <v>695</v>
      </c>
      <c r="D693" s="3">
        <v>66</v>
      </c>
      <c r="E693" s="3">
        <v>63</v>
      </c>
      <c r="F693" s="3">
        <v>3</v>
      </c>
      <c r="G693" s="3" t="str">
        <f t="shared" si="20"/>
        <v>2025-06</v>
      </c>
      <c r="H693" s="26">
        <f t="shared" si="21"/>
        <v>0.95454545454545459</v>
      </c>
    </row>
    <row r="694" spans="1:8" ht="17.399999999999999">
      <c r="A694" s="25">
        <v>45831</v>
      </c>
      <c r="B694" s="3" t="s">
        <v>6</v>
      </c>
      <c r="C694" s="3" t="s">
        <v>696</v>
      </c>
      <c r="D694" s="3">
        <v>29</v>
      </c>
      <c r="E694" s="3">
        <v>26</v>
      </c>
      <c r="F694" s="3">
        <v>3</v>
      </c>
      <c r="G694" s="3" t="str">
        <f t="shared" si="20"/>
        <v>2025-06</v>
      </c>
      <c r="H694" s="26">
        <f t="shared" si="21"/>
        <v>0.89655172413793105</v>
      </c>
    </row>
    <row r="695" spans="1:8" ht="17.399999999999999">
      <c r="A695" s="25">
        <v>45831</v>
      </c>
      <c r="B695" s="3" t="s">
        <v>8</v>
      </c>
      <c r="C695" s="3" t="s">
        <v>697</v>
      </c>
      <c r="D695" s="3">
        <v>77</v>
      </c>
      <c r="E695" s="3">
        <v>77</v>
      </c>
      <c r="F695" s="3">
        <v>0</v>
      </c>
      <c r="G695" s="3" t="str">
        <f t="shared" si="20"/>
        <v>2025-06</v>
      </c>
      <c r="H695" s="26">
        <f t="shared" si="21"/>
        <v>1</v>
      </c>
    </row>
    <row r="696" spans="1:8" ht="17.399999999999999">
      <c r="A696" s="25">
        <v>45831</v>
      </c>
      <c r="B696" s="3" t="s">
        <v>10</v>
      </c>
      <c r="C696" s="3" t="s">
        <v>698</v>
      </c>
      <c r="D696" s="3">
        <v>99</v>
      </c>
      <c r="E696" s="3">
        <v>90</v>
      </c>
      <c r="F696" s="3">
        <v>9</v>
      </c>
      <c r="G696" s="3" t="str">
        <f t="shared" si="20"/>
        <v>2025-06</v>
      </c>
      <c r="H696" s="26">
        <f t="shared" si="21"/>
        <v>0.90909090909090906</v>
      </c>
    </row>
    <row r="697" spans="1:8" ht="17.399999999999999">
      <c r="A697" s="25">
        <v>45831</v>
      </c>
      <c r="B697" s="3" t="s">
        <v>12</v>
      </c>
      <c r="C697" s="3" t="s">
        <v>699</v>
      </c>
      <c r="D697" s="3">
        <v>36</v>
      </c>
      <c r="E697" s="3">
        <v>26</v>
      </c>
      <c r="F697" s="3">
        <v>10</v>
      </c>
      <c r="G697" s="3" t="str">
        <f t="shared" si="20"/>
        <v>2025-06</v>
      </c>
      <c r="H697" s="26">
        <f t="shared" si="21"/>
        <v>0.72222222222222221</v>
      </c>
    </row>
    <row r="698" spans="1:8" ht="17.399999999999999">
      <c r="A698" s="25">
        <v>45832</v>
      </c>
      <c r="B698" s="3" t="s">
        <v>6</v>
      </c>
      <c r="C698" s="3" t="s">
        <v>700</v>
      </c>
      <c r="D698" s="3">
        <v>67</v>
      </c>
      <c r="E698" s="3">
        <v>56</v>
      </c>
      <c r="F698" s="3">
        <v>11</v>
      </c>
      <c r="G698" s="3" t="str">
        <f t="shared" si="20"/>
        <v>2025-06</v>
      </c>
      <c r="H698" s="26">
        <f t="shared" si="21"/>
        <v>0.83582089552238803</v>
      </c>
    </row>
    <row r="699" spans="1:8" ht="17.399999999999999">
      <c r="A699" s="25">
        <v>45832</v>
      </c>
      <c r="B699" s="3" t="s">
        <v>8</v>
      </c>
      <c r="C699" s="3" t="s">
        <v>701</v>
      </c>
      <c r="D699" s="3">
        <v>38</v>
      </c>
      <c r="E699" s="3">
        <v>29</v>
      </c>
      <c r="F699" s="3">
        <v>9</v>
      </c>
      <c r="G699" s="3" t="str">
        <f t="shared" si="20"/>
        <v>2025-06</v>
      </c>
      <c r="H699" s="26">
        <f t="shared" si="21"/>
        <v>0.76315789473684215</v>
      </c>
    </row>
    <row r="700" spans="1:8" ht="17.399999999999999">
      <c r="A700" s="25">
        <v>45832</v>
      </c>
      <c r="B700" s="3" t="s">
        <v>10</v>
      </c>
      <c r="C700" s="3" t="s">
        <v>702</v>
      </c>
      <c r="D700" s="3">
        <v>71</v>
      </c>
      <c r="E700" s="3">
        <v>65</v>
      </c>
      <c r="F700" s="3">
        <v>6</v>
      </c>
      <c r="G700" s="3" t="str">
        <f t="shared" si="20"/>
        <v>2025-06</v>
      </c>
      <c r="H700" s="26">
        <f t="shared" si="21"/>
        <v>0.91549295774647887</v>
      </c>
    </row>
    <row r="701" spans="1:8" ht="17.399999999999999">
      <c r="A701" s="25">
        <v>45832</v>
      </c>
      <c r="B701" s="3" t="s">
        <v>12</v>
      </c>
      <c r="C701" s="3" t="s">
        <v>703</v>
      </c>
      <c r="D701" s="3">
        <v>25</v>
      </c>
      <c r="E701" s="3">
        <v>17</v>
      </c>
      <c r="F701" s="3">
        <v>8</v>
      </c>
      <c r="G701" s="3" t="str">
        <f t="shared" si="20"/>
        <v>2025-06</v>
      </c>
      <c r="H701" s="26">
        <f t="shared" si="21"/>
        <v>0.68</v>
      </c>
    </row>
    <row r="702" spans="1:8" ht="17.399999999999999">
      <c r="A702" s="25">
        <v>45833</v>
      </c>
      <c r="B702" s="3" t="s">
        <v>6</v>
      </c>
      <c r="C702" s="3" t="s">
        <v>704</v>
      </c>
      <c r="D702" s="3">
        <v>62</v>
      </c>
      <c r="E702" s="3">
        <v>58</v>
      </c>
      <c r="F702" s="3">
        <v>4</v>
      </c>
      <c r="G702" s="3" t="str">
        <f t="shared" si="20"/>
        <v>2025-06</v>
      </c>
      <c r="H702" s="26">
        <f t="shared" si="21"/>
        <v>0.93548387096774188</v>
      </c>
    </row>
    <row r="703" spans="1:8" ht="17.399999999999999">
      <c r="A703" s="25">
        <v>45833</v>
      </c>
      <c r="B703" s="3" t="s">
        <v>8</v>
      </c>
      <c r="C703" s="3" t="s">
        <v>705</v>
      </c>
      <c r="D703" s="3">
        <v>78</v>
      </c>
      <c r="E703" s="3">
        <v>58</v>
      </c>
      <c r="F703" s="3">
        <v>20</v>
      </c>
      <c r="G703" s="3" t="str">
        <f t="shared" si="20"/>
        <v>2025-06</v>
      </c>
      <c r="H703" s="26">
        <f t="shared" si="21"/>
        <v>0.74358974358974361</v>
      </c>
    </row>
    <row r="704" spans="1:8" ht="17.399999999999999">
      <c r="A704" s="25">
        <v>45833</v>
      </c>
      <c r="B704" s="3" t="s">
        <v>10</v>
      </c>
      <c r="C704" s="3" t="s">
        <v>706</v>
      </c>
      <c r="D704" s="3">
        <v>37</v>
      </c>
      <c r="E704" s="3">
        <v>30</v>
      </c>
      <c r="F704" s="3">
        <v>7</v>
      </c>
      <c r="G704" s="3" t="str">
        <f t="shared" si="20"/>
        <v>2025-06</v>
      </c>
      <c r="H704" s="26">
        <f t="shared" si="21"/>
        <v>0.81081081081081086</v>
      </c>
    </row>
    <row r="705" spans="1:8" ht="17.399999999999999">
      <c r="A705" s="25">
        <v>45833</v>
      </c>
      <c r="B705" s="3" t="s">
        <v>12</v>
      </c>
      <c r="C705" s="3" t="s">
        <v>707</v>
      </c>
      <c r="D705" s="3">
        <v>40</v>
      </c>
      <c r="E705" s="3">
        <v>34</v>
      </c>
      <c r="F705" s="3">
        <v>6</v>
      </c>
      <c r="G705" s="3" t="str">
        <f t="shared" si="20"/>
        <v>2025-06</v>
      </c>
      <c r="H705" s="26">
        <f t="shared" si="21"/>
        <v>0.85</v>
      </c>
    </row>
    <row r="706" spans="1:8" ht="17.399999999999999">
      <c r="A706" s="25">
        <v>45834</v>
      </c>
      <c r="B706" s="3" t="s">
        <v>6</v>
      </c>
      <c r="C706" s="3" t="s">
        <v>708</v>
      </c>
      <c r="D706" s="3">
        <v>95</v>
      </c>
      <c r="E706" s="3">
        <v>76</v>
      </c>
      <c r="F706" s="3">
        <v>19</v>
      </c>
      <c r="G706" s="3" t="str">
        <f t="shared" si="20"/>
        <v>2025-06</v>
      </c>
      <c r="H706" s="26">
        <f t="shared" si="21"/>
        <v>0.8</v>
      </c>
    </row>
    <row r="707" spans="1:8" ht="17.399999999999999">
      <c r="A707" s="25">
        <v>45834</v>
      </c>
      <c r="B707" s="3" t="s">
        <v>8</v>
      </c>
      <c r="C707" s="3" t="s">
        <v>709</v>
      </c>
      <c r="D707" s="3">
        <v>85</v>
      </c>
      <c r="E707" s="3">
        <v>76</v>
      </c>
      <c r="F707" s="3">
        <v>9</v>
      </c>
      <c r="G707" s="3" t="str">
        <f t="shared" ref="G707:G725" si="22">TEXT(A707,"yyyy-mm")</f>
        <v>2025-06</v>
      </c>
      <c r="H707" s="26">
        <f t="shared" ref="H707:H725" si="23">E707/D707</f>
        <v>0.89411764705882357</v>
      </c>
    </row>
    <row r="708" spans="1:8" ht="17.399999999999999">
      <c r="A708" s="25">
        <v>45834</v>
      </c>
      <c r="B708" s="3" t="s">
        <v>10</v>
      </c>
      <c r="C708" s="3" t="s">
        <v>710</v>
      </c>
      <c r="D708" s="3">
        <v>92</v>
      </c>
      <c r="E708" s="3">
        <v>73</v>
      </c>
      <c r="F708" s="3">
        <v>19</v>
      </c>
      <c r="G708" s="3" t="str">
        <f t="shared" si="22"/>
        <v>2025-06</v>
      </c>
      <c r="H708" s="26">
        <f t="shared" si="23"/>
        <v>0.79347826086956519</v>
      </c>
    </row>
    <row r="709" spans="1:8" ht="17.399999999999999">
      <c r="A709" s="25">
        <v>45834</v>
      </c>
      <c r="B709" s="3" t="s">
        <v>12</v>
      </c>
      <c r="C709" s="3" t="s">
        <v>711</v>
      </c>
      <c r="D709" s="3">
        <v>22</v>
      </c>
      <c r="E709" s="3">
        <v>20</v>
      </c>
      <c r="F709" s="3">
        <v>2</v>
      </c>
      <c r="G709" s="3" t="str">
        <f t="shared" si="22"/>
        <v>2025-06</v>
      </c>
      <c r="H709" s="26">
        <f t="shared" si="23"/>
        <v>0.90909090909090906</v>
      </c>
    </row>
    <row r="710" spans="1:8" ht="17.399999999999999">
      <c r="A710" s="25">
        <v>45835</v>
      </c>
      <c r="B710" s="3" t="s">
        <v>6</v>
      </c>
      <c r="C710" s="3" t="s">
        <v>712</v>
      </c>
      <c r="D710" s="3">
        <v>34</v>
      </c>
      <c r="E710" s="3">
        <v>29</v>
      </c>
      <c r="F710" s="3">
        <v>5</v>
      </c>
      <c r="G710" s="3" t="str">
        <f t="shared" si="22"/>
        <v>2025-06</v>
      </c>
      <c r="H710" s="26">
        <f t="shared" si="23"/>
        <v>0.8529411764705882</v>
      </c>
    </row>
    <row r="711" spans="1:8" ht="17.399999999999999">
      <c r="A711" s="25">
        <v>45835</v>
      </c>
      <c r="B711" s="3" t="s">
        <v>8</v>
      </c>
      <c r="C711" s="3" t="s">
        <v>713</v>
      </c>
      <c r="D711" s="3">
        <v>100</v>
      </c>
      <c r="E711" s="3">
        <v>70</v>
      </c>
      <c r="F711" s="3">
        <v>30</v>
      </c>
      <c r="G711" s="3" t="str">
        <f t="shared" si="22"/>
        <v>2025-06</v>
      </c>
      <c r="H711" s="26">
        <f t="shared" si="23"/>
        <v>0.7</v>
      </c>
    </row>
    <row r="712" spans="1:8" ht="17.399999999999999">
      <c r="A712" s="25">
        <v>45835</v>
      </c>
      <c r="B712" s="3" t="s">
        <v>10</v>
      </c>
      <c r="C712" s="3" t="s">
        <v>714</v>
      </c>
      <c r="D712" s="3">
        <v>53</v>
      </c>
      <c r="E712" s="3">
        <v>44</v>
      </c>
      <c r="F712" s="3">
        <v>9</v>
      </c>
      <c r="G712" s="3" t="str">
        <f t="shared" si="22"/>
        <v>2025-06</v>
      </c>
      <c r="H712" s="26">
        <f t="shared" si="23"/>
        <v>0.83018867924528306</v>
      </c>
    </row>
    <row r="713" spans="1:8" ht="17.399999999999999">
      <c r="A713" s="25">
        <v>45835</v>
      </c>
      <c r="B713" s="3" t="s">
        <v>12</v>
      </c>
      <c r="C713" s="3" t="s">
        <v>715</v>
      </c>
      <c r="D713" s="3">
        <v>94</v>
      </c>
      <c r="E713" s="3">
        <v>80</v>
      </c>
      <c r="F713" s="3">
        <v>14</v>
      </c>
      <c r="G713" s="3" t="str">
        <f t="shared" si="22"/>
        <v>2025-06</v>
      </c>
      <c r="H713" s="26">
        <f t="shared" si="23"/>
        <v>0.85106382978723405</v>
      </c>
    </row>
    <row r="714" spans="1:8" ht="17.399999999999999">
      <c r="A714" s="25">
        <v>45836</v>
      </c>
      <c r="B714" s="3" t="s">
        <v>6</v>
      </c>
      <c r="C714" s="3" t="s">
        <v>716</v>
      </c>
      <c r="D714" s="3">
        <v>87</v>
      </c>
      <c r="E714" s="3">
        <v>80</v>
      </c>
      <c r="F714" s="3">
        <v>7</v>
      </c>
      <c r="G714" s="3" t="str">
        <f t="shared" si="22"/>
        <v>2025-06</v>
      </c>
      <c r="H714" s="26">
        <f t="shared" si="23"/>
        <v>0.91954022988505746</v>
      </c>
    </row>
    <row r="715" spans="1:8" ht="17.399999999999999">
      <c r="A715" s="25">
        <v>45836</v>
      </c>
      <c r="B715" s="3" t="s">
        <v>8</v>
      </c>
      <c r="C715" s="3" t="s">
        <v>488</v>
      </c>
      <c r="D715" s="3">
        <v>38</v>
      </c>
      <c r="E715" s="3">
        <v>36</v>
      </c>
      <c r="F715" s="3">
        <v>2</v>
      </c>
      <c r="G715" s="3" t="str">
        <f t="shared" si="22"/>
        <v>2025-06</v>
      </c>
      <c r="H715" s="26">
        <f t="shared" si="23"/>
        <v>0.94736842105263153</v>
      </c>
    </row>
    <row r="716" spans="1:8" ht="17.399999999999999">
      <c r="A716" s="25">
        <v>45836</v>
      </c>
      <c r="B716" s="3" t="s">
        <v>10</v>
      </c>
      <c r="C716" s="3" t="s">
        <v>717</v>
      </c>
      <c r="D716" s="3">
        <v>24</v>
      </c>
      <c r="E716" s="3">
        <v>17</v>
      </c>
      <c r="F716" s="3">
        <v>7</v>
      </c>
      <c r="G716" s="3" t="str">
        <f t="shared" si="22"/>
        <v>2025-06</v>
      </c>
      <c r="H716" s="26">
        <f t="shared" si="23"/>
        <v>0.70833333333333337</v>
      </c>
    </row>
    <row r="717" spans="1:8" ht="17.399999999999999">
      <c r="A717" s="25">
        <v>45836</v>
      </c>
      <c r="B717" s="3" t="s">
        <v>12</v>
      </c>
      <c r="C717" s="3" t="s">
        <v>718</v>
      </c>
      <c r="D717" s="3">
        <v>22</v>
      </c>
      <c r="E717" s="3">
        <v>22</v>
      </c>
      <c r="F717" s="3">
        <v>0</v>
      </c>
      <c r="G717" s="3" t="str">
        <f t="shared" si="22"/>
        <v>2025-06</v>
      </c>
      <c r="H717" s="26">
        <f t="shared" si="23"/>
        <v>1</v>
      </c>
    </row>
    <row r="718" spans="1:8" ht="17.399999999999999">
      <c r="A718" s="25">
        <v>45837</v>
      </c>
      <c r="B718" s="3" t="s">
        <v>6</v>
      </c>
      <c r="C718" s="3" t="s">
        <v>719</v>
      </c>
      <c r="D718" s="3">
        <v>73</v>
      </c>
      <c r="E718" s="3">
        <v>55</v>
      </c>
      <c r="F718" s="3">
        <v>18</v>
      </c>
      <c r="G718" s="3" t="str">
        <f t="shared" si="22"/>
        <v>2025-06</v>
      </c>
      <c r="H718" s="26">
        <f t="shared" si="23"/>
        <v>0.75342465753424659</v>
      </c>
    </row>
    <row r="719" spans="1:8" ht="17.399999999999999">
      <c r="A719" s="25">
        <v>45837</v>
      </c>
      <c r="B719" s="3" t="s">
        <v>8</v>
      </c>
      <c r="C719" s="3" t="s">
        <v>720</v>
      </c>
      <c r="D719" s="3">
        <v>46</v>
      </c>
      <c r="E719" s="3">
        <v>38</v>
      </c>
      <c r="F719" s="3">
        <v>8</v>
      </c>
      <c r="G719" s="3" t="str">
        <f t="shared" si="22"/>
        <v>2025-06</v>
      </c>
      <c r="H719" s="26">
        <f t="shared" si="23"/>
        <v>0.82608695652173914</v>
      </c>
    </row>
    <row r="720" spans="1:8" ht="17.399999999999999">
      <c r="A720" s="25">
        <v>45837</v>
      </c>
      <c r="B720" s="3" t="s">
        <v>10</v>
      </c>
      <c r="C720" s="3" t="s">
        <v>721</v>
      </c>
      <c r="D720" s="3">
        <v>98</v>
      </c>
      <c r="E720" s="3">
        <v>97</v>
      </c>
      <c r="F720" s="3">
        <v>1</v>
      </c>
      <c r="G720" s="3" t="str">
        <f t="shared" si="22"/>
        <v>2025-06</v>
      </c>
      <c r="H720" s="26">
        <f t="shared" si="23"/>
        <v>0.98979591836734693</v>
      </c>
    </row>
    <row r="721" spans="1:8" ht="17.399999999999999">
      <c r="A721" s="25">
        <v>45837</v>
      </c>
      <c r="B721" s="3" t="s">
        <v>12</v>
      </c>
      <c r="C721" s="3" t="s">
        <v>722</v>
      </c>
      <c r="D721" s="3">
        <v>27</v>
      </c>
      <c r="E721" s="3">
        <v>20</v>
      </c>
      <c r="F721" s="3">
        <v>7</v>
      </c>
      <c r="G721" s="3" t="str">
        <f t="shared" si="22"/>
        <v>2025-06</v>
      </c>
      <c r="H721" s="26">
        <f t="shared" si="23"/>
        <v>0.7407407407407407</v>
      </c>
    </row>
    <row r="722" spans="1:8" ht="17.399999999999999">
      <c r="A722" s="25">
        <v>45838</v>
      </c>
      <c r="B722" s="3" t="s">
        <v>6</v>
      </c>
      <c r="C722" s="3" t="s">
        <v>723</v>
      </c>
      <c r="D722" s="3">
        <v>46</v>
      </c>
      <c r="E722" s="3">
        <v>40</v>
      </c>
      <c r="F722" s="3">
        <v>6</v>
      </c>
      <c r="G722" s="3" t="str">
        <f t="shared" si="22"/>
        <v>2025-06</v>
      </c>
      <c r="H722" s="26">
        <f t="shared" si="23"/>
        <v>0.86956521739130432</v>
      </c>
    </row>
    <row r="723" spans="1:8" ht="17.399999999999999">
      <c r="A723" s="25">
        <v>45838</v>
      </c>
      <c r="B723" s="3" t="s">
        <v>8</v>
      </c>
      <c r="C723" s="3" t="s">
        <v>724</v>
      </c>
      <c r="D723" s="3">
        <v>81</v>
      </c>
      <c r="E723" s="3">
        <v>72</v>
      </c>
      <c r="F723" s="3">
        <v>9</v>
      </c>
      <c r="G723" s="3" t="str">
        <f t="shared" si="22"/>
        <v>2025-06</v>
      </c>
      <c r="H723" s="26">
        <f t="shared" si="23"/>
        <v>0.88888888888888884</v>
      </c>
    </row>
    <row r="724" spans="1:8" ht="17.399999999999999">
      <c r="A724" s="25">
        <v>45838</v>
      </c>
      <c r="B724" s="3" t="s">
        <v>10</v>
      </c>
      <c r="C724" s="3" t="s">
        <v>725</v>
      </c>
      <c r="D724" s="3">
        <v>60</v>
      </c>
      <c r="E724" s="3">
        <v>47</v>
      </c>
      <c r="F724" s="3">
        <v>13</v>
      </c>
      <c r="G724" s="3" t="str">
        <f t="shared" si="22"/>
        <v>2025-06</v>
      </c>
      <c r="H724" s="26">
        <f t="shared" si="23"/>
        <v>0.78333333333333333</v>
      </c>
    </row>
    <row r="725" spans="1:8" ht="17.399999999999999">
      <c r="A725" s="30">
        <v>45838</v>
      </c>
      <c r="B725" s="31" t="s">
        <v>12</v>
      </c>
      <c r="C725" s="31" t="s">
        <v>726</v>
      </c>
      <c r="D725" s="31">
        <v>88</v>
      </c>
      <c r="E725" s="31">
        <v>71</v>
      </c>
      <c r="F725" s="31">
        <v>17</v>
      </c>
      <c r="G725" s="31" t="str">
        <f t="shared" si="22"/>
        <v>2025-06</v>
      </c>
      <c r="H725" s="32">
        <f t="shared" si="23"/>
        <v>0.80681818181818177</v>
      </c>
    </row>
    <row r="726" spans="1:8">
      <c r="H726" s="6"/>
    </row>
    <row r="727" spans="1:8">
      <c r="H727" s="6"/>
    </row>
    <row r="728" spans="1:8">
      <c r="H728" s="6"/>
    </row>
    <row r="729" spans="1:8">
      <c r="H729" s="6"/>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23D4-3B31-40AC-B048-ECE81FA25CFB}">
  <dimension ref="A1"/>
  <sheetViews>
    <sheetView showGridLines="0" tabSelected="1" zoomScale="101" zoomScaleNormal="100" workbookViewId="0">
      <selection activeCell="E1" sqref="E1:E1048576"/>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Pharma_QC_Test_Results</vt:lpstr>
      <vt:lpstr>Pass vs Fail Distribution</vt:lpstr>
      <vt:lpstr>Failures by Product (Monthly)</vt:lpstr>
      <vt:lpstr>Pass Rate Trend</vt:lpstr>
      <vt:lpstr>Sum of Test Done</vt:lpstr>
      <vt:lpstr>Sum of Passed</vt:lpstr>
      <vt:lpstr>Sum of Failed</vt:lpstr>
      <vt:lpstr>Sum of Pass Rate</vt:lpstr>
      <vt:lpstr>Modified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Goraksha Khose</dc:creator>
  <cp:lastModifiedBy>Rutuja Khose</cp:lastModifiedBy>
  <dcterms:created xsi:type="dcterms:W3CDTF">2025-09-15T08:49:53Z</dcterms:created>
  <dcterms:modified xsi:type="dcterms:W3CDTF">2025-11-12T15:30:04Z</dcterms:modified>
</cp:coreProperties>
</file>